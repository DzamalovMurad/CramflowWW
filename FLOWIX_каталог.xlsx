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" sheetId="1" state="visible" r:id="rId1"/>
    <sheet name="1 сентября" sheetId="2" state="visible" r:id="rId2"/>
    <sheet name="План выкладки" sheetId="3" state="visible" r:id="rId3"/>
    <sheet name="Прайс" sheetId="4" state="visible" r:id="rId4"/>
    <sheet name="Сводка" sheetId="5" state="visible" r:id="rId5"/>
    <sheet name="Проверка" sheetId="6" state="visible" r:id="rId6"/>
  </sheets>
  <definedNames>
    <definedName name="_xlnm._FilterDatabase" localSheetId="0" hidden="1">'Каталог'!$A$2:$N$62</definedName>
    <definedName name="_xlnm._FilterDatabase" localSheetId="1" hidden="1">'1 сентября'!$A$2:$K$19</definedName>
    <definedName name="_xlnm._FilterDatabase" localSheetId="2" hidden="1">'План выкладки'!$A$2:$I$62</definedName>
    <definedName name="_xlnm._FilterDatabase" localSheetId="3" hidden="1">'Прайс'!$A$1:$D$569</definedName>
    <definedName name="_xlnm._FilterDatabase" localSheetId="5" hidden="1">'Проверка'!$A$1:$E$58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 ##0 ₽"/>
    <numFmt numFmtId="165" formatCode="0.0%"/>
    <numFmt numFmtId="166" formatCode="# ##0.00 ₽"/>
  </numFmts>
  <fonts count="7">
    <font>
      <name val="Calibri"/>
      <family val="2"/>
      <color theme="1"/>
      <sz val="11"/>
      <scheme val="minor"/>
    </font>
    <font>
      <i val="1"/>
      <color rgb="004A4A4A"/>
      <sz val="10"/>
    </font>
    <font>
      <b val="1"/>
      <color rgb="00FFFFFF"/>
      <sz val="11"/>
    </font>
    <font>
      <b val="1"/>
    </font>
    <font>
      <i val="1"/>
      <color rgb="00777777"/>
    </font>
    <font>
      <b val="1"/>
      <sz val="14"/>
    </font>
    <font>
      <color rgb="00777777"/>
      <sz val="10"/>
    </font>
  </fonts>
  <fills count="9">
    <fill>
      <patternFill/>
    </fill>
    <fill>
      <patternFill patternType="gray125"/>
    </fill>
    <fill>
      <patternFill patternType="solid">
        <fgColor rgb="00F5F3EE"/>
      </patternFill>
    </fill>
    <fill>
      <patternFill patternType="solid">
        <fgColor rgb="003E4A42"/>
      </patternFill>
    </fill>
    <fill>
      <patternFill patternType="solid">
        <fgColor rgb="00F2F6F0"/>
      </patternFill>
    </fill>
    <fill>
      <patternFill patternType="solid">
        <fgColor rgb="00EAF1F6"/>
      </patternFill>
    </fill>
    <fill>
      <patternFill patternType="solid">
        <fgColor rgb="00F4EFF7"/>
      </patternFill>
    </fill>
    <fill>
      <patternFill patternType="solid">
        <fgColor rgb="00FBF0E8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0" fontId="3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3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0" borderId="0" pivotButton="0" quotePrefix="0" xfId="0"/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34" customWidth="1" min="4" max="4"/>
    <col width="44" customWidth="1" min="5" max="5"/>
    <col width="11" customWidth="1" min="6" max="6"/>
    <col width="14" customWidth="1" min="7" max="7"/>
    <col width="10" customWidth="1" min="8" max="8"/>
    <col width="10" customWidth="1" min="9" max="9"/>
    <col width="10" customWidth="1" min="10" max="10"/>
    <col width="20" customWidth="1" min="11" max="11"/>
    <col width="9" customWidth="1" min="12" max="12"/>
    <col width="22" customWidth="1" min="13" max="13"/>
    <col width="52" customWidth="1" min="14" max="14"/>
  </cols>
  <sheetData>
    <row r="1" ht="46" customHeight="1">
      <c r="A1" s="1" t="inlineStr">
        <is>
          <t>Себестоимость = цветы по прайсу оптовой базы «Прайс_07_07» + упаковка. Упаковка: до 11 стеблей — 90 ₽, 12–25 — 140 ₽, 26–51 — 190 ₽, свыше 51 — 250 ₽ (тариф на листе «Прайс», ячейки G5:G8 — правится там, пересчёт по всему файлу автоматический). Доставка в себестоимость НЕ входит: оплачивается клиентом отдельно через Яндекс.Доставку и на маржу не влияет.</t>
        </is>
      </c>
    </row>
    <row r="2" ht="32" customHeight="1">
      <c r="A2" s="2" t="inlineStr">
        <is>
          <t>ID</t>
        </is>
      </c>
      <c r="B2" s="2" t="inlineStr">
        <is>
          <t>Название</t>
        </is>
      </c>
      <c r="C2" s="2" t="inlineStr">
        <is>
          <t>Категория</t>
        </is>
      </c>
      <c r="D2" s="2" t="inlineStr">
        <is>
          <t>Состав (вид и кол-во)</t>
        </is>
      </c>
      <c r="E2" s="2" t="inlineStr">
        <is>
          <t>Описание</t>
        </is>
      </c>
      <c r="F2" s="2" t="inlineStr">
        <is>
          <t>Упаковка, ₽</t>
        </is>
      </c>
      <c r="G2" s="2" t="inlineStr">
        <is>
          <t>Себестоимость</t>
        </is>
      </c>
      <c r="H2" s="2" t="inlineStr">
        <is>
          <t>Цена</t>
        </is>
      </c>
      <c r="I2" s="2" t="inlineStr">
        <is>
          <t>Маржа ₽</t>
        </is>
      </c>
      <c r="J2" s="2" t="inlineStr">
        <is>
          <t>Маржа %</t>
        </is>
      </c>
      <c r="K2" s="2" t="inlineStr">
        <is>
          <t>Сезон/повод</t>
        </is>
      </c>
      <c r="L2" s="2" t="inlineStr">
        <is>
          <t>Фото есть</t>
        </is>
      </c>
      <c r="M2" s="2" t="inlineStr">
        <is>
          <t>Статус</t>
        </is>
      </c>
      <c r="N2" s="2" t="inlineStr">
        <is>
          <t>Примечание</t>
        </is>
      </c>
    </row>
    <row r="3" ht="60" customHeight="1">
      <c r="A3" s="3" t="inlineStr">
        <is>
          <t>PRD-01</t>
        </is>
      </c>
      <c r="B3" s="4" t="inlineStr">
        <is>
          <t>Бакарди</t>
        </is>
      </c>
      <c r="C3" s="5" t="inlineStr">
        <is>
          <t>Стандарт</t>
        </is>
      </c>
      <c r="D3" s="6" t="inlineStr">
        <is>
          <t>хризантема кустовая Бакарди белая × 9</t>
        </is>
      </c>
      <c r="E3" s="6" t="inlineStr">
        <is>
          <t>Девять белых кустовых хризантем сорта Бакарди — ромашковая простота без единого лишнего цвета. Хорошо смотрится в стеклянной банке.</t>
        </is>
      </c>
      <c r="F3" s="7">
        <f>Прайс!$G$5</f>
        <v/>
      </c>
      <c r="G3" s="7">
        <f>9*Прайс!$D$160+$F3</f>
        <v/>
      </c>
      <c r="H3" s="7" t="n">
        <v>1590</v>
      </c>
      <c r="I3" s="7">
        <f>IF(ISNUMBER($G3),$H3-$G3,"—")</f>
        <v/>
      </c>
      <c r="J3" s="8">
        <f>IF(ISNUMBER($G3),($H3-$G3)/$H3,"—")</f>
        <v/>
      </c>
      <c r="K3" s="6" t="inlineStr">
        <is>
          <t>круглый год</t>
        </is>
      </c>
      <c r="L3" s="9" t="inlineStr">
        <is>
          <t>да</t>
        </is>
      </c>
      <c r="M3" s="6" t="inlineStr">
        <is>
          <t>в каталоге бота</t>
        </is>
      </c>
      <c r="N3" s="6" t="inlineStr">
        <is>
          <t>сейчас в боте · категория проставлена по ценовой сетке каталога — подтвердить</t>
        </is>
      </c>
    </row>
    <row r="4" ht="60" customHeight="1">
      <c r="A4" s="3" t="inlineStr">
        <is>
          <t>PRD-02</t>
        </is>
      </c>
      <c r="B4" s="4" t="inlineStr">
        <is>
          <t>Шар</t>
        </is>
      </c>
      <c r="C4" s="5" t="inlineStr">
        <is>
          <t>Стандарт</t>
        </is>
      </c>
      <c r="D4" s="6" t="inlineStr">
        <is>
          <t>гвоздика кустовая × 15</t>
        </is>
      </c>
      <c r="E4" s="6" t="inlineStr">
        <is>
          <t>Пятнадцать кустовых гвоздик в плотном ровном шаре. Держит форму неделями и почти не пьёт воду — берут в офис и на ресепшн.</t>
        </is>
      </c>
      <c r="F4" s="7">
        <f>Прайс!$G$6</f>
        <v/>
      </c>
      <c r="G4" s="7">
        <f>15*Прайс!$D$34+$F4</f>
        <v/>
      </c>
      <c r="H4" s="7" t="n">
        <v>1790</v>
      </c>
      <c r="I4" s="7">
        <f>IF(ISNUMBER($G4),$H4-$G4,"—")</f>
        <v/>
      </c>
      <c r="J4" s="8">
        <f>IF(ISNUMBER($G4),($H4-$G4)/$H4,"—")</f>
        <v/>
      </c>
      <c r="K4" s="6" t="inlineStr">
        <is>
          <t>круглый год</t>
        </is>
      </c>
      <c r="L4" s="9" t="inlineStr">
        <is>
          <t>да</t>
        </is>
      </c>
      <c r="M4" s="6" t="inlineStr">
        <is>
          <t>в каталоге бота</t>
        </is>
      </c>
      <c r="N4" s="6" t="inlineStr">
        <is>
          <t>сейчас в боте · категория проставлена по ценовой сетке каталога — подтвердить · в прайсе также «гвоздика китай кустовая» 39,90 ₽ (01220) — счёт по «Гвоздика Эквадор Кустовая» (00774)</t>
        </is>
      </c>
    </row>
    <row r="5" ht="45" customHeight="1">
      <c r="A5" s="3" t="inlineStr">
        <is>
          <t>PRD-03</t>
        </is>
      </c>
      <c r="B5" s="4" t="inlineStr">
        <is>
          <t>Лёгкий</t>
        </is>
      </c>
      <c r="C5" s="5" t="inlineStr">
        <is>
          <t>Стандарт</t>
        </is>
      </c>
      <c r="D5" s="6" t="inlineStr">
        <is>
          <t>альстромерия Краснодар 60 см × 21</t>
        </is>
      </c>
      <c r="E5" s="6" t="inlineStr">
        <is>
          <t>Двадцать одна краснодарская альстромерия: много цветов за небольшие деньги. Раскрывается постепенно, дней десять подряд.</t>
        </is>
      </c>
      <c r="F5" s="7">
        <f>Прайс!$G$6</f>
        <v/>
      </c>
      <c r="G5" s="7">
        <f>21*Прайс!$D$245+$F5</f>
        <v/>
      </c>
      <c r="H5" s="7" t="n">
        <v>1990</v>
      </c>
      <c r="I5" s="7">
        <f>IF(ISNUMBER($G5),$H5-$G5,"—")</f>
        <v/>
      </c>
      <c r="J5" s="8">
        <f>IF(ISNUMBER($G5),($H5-$G5)/$H5,"—")</f>
        <v/>
      </c>
      <c r="K5" s="6" t="inlineStr">
        <is>
          <t>круглый год</t>
        </is>
      </c>
      <c r="L5" s="9" t="inlineStr">
        <is>
          <t>да</t>
        </is>
      </c>
      <c r="M5" s="6" t="inlineStr">
        <is>
          <t>в каталоге бота</t>
        </is>
      </c>
      <c r="N5" s="6" t="inlineStr">
        <is>
          <t>сейчас в боте · категория проставлена по ценовой сетке каталога — подтвердить</t>
        </is>
      </c>
    </row>
    <row r="6" ht="45" customHeight="1">
      <c r="A6" s="3" t="inlineStr">
        <is>
          <t>NEW-01</t>
        </is>
      </c>
      <c r="B6" s="4" t="inlineStr">
        <is>
          <t>Мёд</t>
        </is>
      </c>
      <c r="C6" s="5" t="inlineStr">
        <is>
          <t>Стандарт</t>
        </is>
      </c>
      <c r="D6" s="6" t="inlineStr">
        <is>
          <t>гербера × 9</t>
        </is>
      </c>
      <c r="E6" s="6" t="inlineStr">
        <is>
          <t>Девять крупных гербер тёплого янтарного тона. Простая, почти детская радость — хорошо заходит как букет без повода.</t>
        </is>
      </c>
      <c r="F6" s="7">
        <f>Прайс!$G$5</f>
        <v/>
      </c>
      <c r="G6" s="7">
        <f>9*Прайс!$D$36+$F6</f>
        <v/>
      </c>
      <c r="H6" s="7" t="n">
        <v>1090</v>
      </c>
      <c r="I6" s="7">
        <f>IF(ISNUMBER($G6),$H6-$G6,"—")</f>
        <v/>
      </c>
      <c r="J6" s="8">
        <f>IF(ISNUMBER($G6),($H6-$G6)/$H6,"—")</f>
        <v/>
      </c>
      <c r="K6" s="6" t="inlineStr">
        <is>
          <t>круглый год</t>
        </is>
      </c>
      <c r="L6" s="9" t="inlineStr">
        <is>
          <t>да</t>
        </is>
      </c>
      <c r="M6" s="6" t="inlineStr">
        <is>
          <t>новый — завести через /add</t>
        </is>
      </c>
      <c r="N6" s="6" t="inlineStr">
        <is>
          <t>новый · состав увеличен с 5 до 9 гербер (5 стеблей давали слишком тонкий букет), цена пересчитана с 1 290 ₽ под маржу около 60%</t>
        </is>
      </c>
    </row>
    <row r="7" ht="45" customHeight="1">
      <c r="A7" s="3" t="inlineStr">
        <is>
          <t>NEW-02</t>
        </is>
      </c>
      <c r="B7" s="4" t="inlineStr">
        <is>
          <t>Орех</t>
        </is>
      </c>
      <c r="C7" s="5" t="inlineStr">
        <is>
          <t>Стандарт</t>
        </is>
      </c>
      <c r="D7" s="6" t="inlineStr">
        <is>
          <t>гвоздика пудровая × 9</t>
        </is>
      </c>
      <c r="E7" s="6" t="inlineStr">
        <is>
          <t>Девять пудровых гвоздик приглушённого бежевого тона. Спокойный букет для тех, кто не любит яркое.</t>
        </is>
      </c>
      <c r="F7" s="7">
        <f>Прайс!$G$5</f>
        <v/>
      </c>
      <c r="G7" s="7">
        <f>9*Прайс!$D$33+$F7</f>
        <v/>
      </c>
      <c r="H7" s="7" t="n">
        <v>1190</v>
      </c>
      <c r="I7" s="7">
        <f>IF(ISNUMBER($G7),$H7-$G7,"—")</f>
        <v/>
      </c>
      <c r="J7" s="8">
        <f>IF(ISNUMBER($G7),($H7-$G7)/$H7,"—")</f>
        <v/>
      </c>
      <c r="K7" s="6" t="inlineStr">
        <is>
          <t>круглый год</t>
        </is>
      </c>
      <c r="L7" s="9" t="inlineStr">
        <is>
          <t>да</t>
        </is>
      </c>
      <c r="M7" s="6" t="inlineStr">
        <is>
          <t>новый — завести через /add</t>
        </is>
      </c>
      <c r="N7" s="6" t="inlineStr">
        <is>
          <t>новый · оттенок «пудровая» в прайсе не выделен — счёт по «гвоздика Эквадор» (00026)</t>
        </is>
      </c>
    </row>
    <row r="8" ht="45" customHeight="1">
      <c r="A8" s="3" t="inlineStr">
        <is>
          <t>NEW-03</t>
        </is>
      </c>
      <c r="B8" s="4" t="inlineStr">
        <is>
          <t>Штрих</t>
        </is>
      </c>
      <c r="C8" s="5" t="inlineStr">
        <is>
          <t>Стандарт</t>
        </is>
      </c>
      <c r="D8" s="6" t="inlineStr">
        <is>
          <t>гладиолус × 5</t>
        </is>
      </c>
      <c r="E8" s="6" t="inlineStr">
        <is>
          <t>Пять гладиолусов в рост, строгая вертикаль без единой лишней детали. Там, где нужен жест, а не пышность.</t>
        </is>
      </c>
      <c r="F8" s="7">
        <f>Прайс!$G$5</f>
        <v/>
      </c>
      <c r="G8" s="7">
        <f>5*Прайс!$D$40+$F8</f>
        <v/>
      </c>
      <c r="H8" s="7" t="n">
        <v>1290</v>
      </c>
      <c r="I8" s="7">
        <f>IF(ISNUMBER($G8),$H8-$G8,"—")</f>
        <v/>
      </c>
      <c r="J8" s="8">
        <f>IF(ISNUMBER($G8),($H8-$G8)/$H8,"—")</f>
        <v/>
      </c>
      <c r="K8" s="6" t="inlineStr">
        <is>
          <t>август–сентябрь</t>
        </is>
      </c>
      <c r="L8" s="9" t="inlineStr">
        <is>
          <t>нет</t>
        </is>
      </c>
      <c r="M8" s="6" t="inlineStr">
        <is>
          <t>новый — завести через /add</t>
        </is>
      </c>
      <c r="N8" s="6" t="inlineStr">
        <is>
          <t>новый</t>
        </is>
      </c>
    </row>
    <row r="9" ht="45" customHeight="1">
      <c r="A9" s="3" t="inlineStr">
        <is>
          <t>NEW-04</t>
        </is>
      </c>
      <c r="B9" s="4" t="inlineStr">
        <is>
          <t>Воздух</t>
        </is>
      </c>
      <c r="C9" s="5" t="inlineStr">
        <is>
          <t>Стандарт</t>
        </is>
      </c>
      <c r="D9" s="6" t="inlineStr">
        <is>
          <t>маттиола × 5</t>
        </is>
      </c>
      <c r="E9" s="6" t="inlineStr">
        <is>
          <t>Пять веток маттиолы — тот самый пряно-сладкий запах, который слышно из коридора. Букет-настроение.</t>
        </is>
      </c>
      <c r="F9" s="7">
        <f>Прайс!$G$5</f>
        <v/>
      </c>
      <c r="G9" s="7">
        <f>5*Прайс!$D$59+$F9</f>
        <v/>
      </c>
      <c r="H9" s="7" t="n">
        <v>1290</v>
      </c>
      <c r="I9" s="7">
        <f>IF(ISNUMBER($G9),$H9-$G9,"—")</f>
        <v/>
      </c>
      <c r="J9" s="8">
        <f>IF(ISNUMBER($G9),($H9-$G9)/$H9,"—")</f>
        <v/>
      </c>
      <c r="K9" s="6" t="inlineStr">
        <is>
          <t>весна–лето</t>
        </is>
      </c>
      <c r="L9" s="9" t="inlineStr">
        <is>
          <t>нет</t>
        </is>
      </c>
      <c r="M9" s="6" t="inlineStr">
        <is>
          <t>новый — завести через /add</t>
        </is>
      </c>
      <c r="N9" s="6" t="inlineStr">
        <is>
          <t>новый</t>
        </is>
      </c>
    </row>
    <row r="10" ht="45" customHeight="1">
      <c r="A10" s="3" t="inlineStr">
        <is>
          <t>NEW-05</t>
        </is>
      </c>
      <c r="B10" s="4" t="inlineStr">
        <is>
          <t>Клубничный Мусс</t>
        </is>
      </c>
      <c r="C10" s="5" t="inlineStr">
        <is>
          <t>Стандарт</t>
        </is>
      </c>
      <c r="D10" s="6" t="inlineStr">
        <is>
          <t>роза Кения микс 40 см × 15</t>
        </is>
      </c>
      <c r="E10" s="6" t="inlineStr">
        <is>
          <t>Пятнадцать кенийских роз в розово-ягодном миксе. Лёгкий букет на день рождения подруге или сестре.</t>
        </is>
      </c>
      <c r="F10" s="7">
        <f>Прайс!$G$6</f>
        <v/>
      </c>
      <c r="G10" s="7">
        <f>15*Прайс!$D$77+$F10</f>
        <v/>
      </c>
      <c r="H10" s="7" t="n">
        <v>1490</v>
      </c>
      <c r="I10" s="7">
        <f>IF(ISNUMBER($G10),$H10-$G10,"—")</f>
        <v/>
      </c>
      <c r="J10" s="8">
        <f>IF(ISNUMBER($G10),($H10-$G10)/$H10,"—")</f>
        <v/>
      </c>
      <c r="K10" s="6" t="inlineStr">
        <is>
          <t>день рождения</t>
        </is>
      </c>
      <c r="L10" s="9" t="inlineStr">
        <is>
          <t>да</t>
        </is>
      </c>
      <c r="M10" s="6" t="inlineStr">
        <is>
          <t>новый — завести через /add</t>
        </is>
      </c>
      <c r="N10" s="6" t="inlineStr">
        <is>
          <t>новый</t>
        </is>
      </c>
    </row>
    <row r="11" ht="45" customHeight="1">
      <c r="A11" s="3" t="inlineStr">
        <is>
          <t>NEW-06</t>
        </is>
      </c>
      <c r="B11" s="4" t="inlineStr">
        <is>
          <t>Бронза</t>
        </is>
      </c>
      <c r="C11" s="5" t="inlineStr">
        <is>
          <t>Стандарт</t>
        </is>
      </c>
      <c r="D11" s="6" t="inlineStr">
        <is>
          <t>хризантема кустовая осенняя × 7</t>
        </is>
      </c>
      <c r="E11" s="6" t="inlineStr">
        <is>
          <t>Семь кустовых хризантем в осенней палитре: охра, ржавчина, тёмное золото. Стоит в вазе две недели и не осыпается.</t>
        </is>
      </c>
      <c r="F11" s="7">
        <f>Прайс!$G$5</f>
        <v/>
      </c>
      <c r="G11" s="7">
        <f>7*Прайс!$D$122+$F11</f>
        <v/>
      </c>
      <c r="H11" s="7" t="n">
        <v>1590</v>
      </c>
      <c r="I11" s="7">
        <f>IF(ISNUMBER($G11),$H11-$G11,"—")</f>
        <v/>
      </c>
      <c r="J11" s="8">
        <f>IF(ISNUMBER($G11),($H11-$G11)/$H11,"—")</f>
        <v/>
      </c>
      <c r="K11" s="6" t="inlineStr">
        <is>
          <t>осень</t>
        </is>
      </c>
      <c r="L11" s="9" t="inlineStr">
        <is>
          <t>да</t>
        </is>
      </c>
      <c r="M11" s="6" t="inlineStr">
        <is>
          <t>новый — завести через /add</t>
        </is>
      </c>
      <c r="N11" s="6" t="inlineStr">
        <is>
          <t>новый · сезонный оттенок в прайсе не выделен — счёт по «Хризантема кустовая Голландия цветная» (00045)</t>
        </is>
      </c>
    </row>
    <row r="12" ht="45" customHeight="1">
      <c r="A12" s="3" t="inlineStr">
        <is>
          <t>NEW-07</t>
        </is>
      </c>
      <c r="B12" s="4" t="inlineStr">
        <is>
          <t>Мокко</t>
        </is>
      </c>
      <c r="C12" s="5" t="inlineStr">
        <is>
          <t>Стандарт</t>
        </is>
      </c>
      <c r="D12" s="6" t="inlineStr">
        <is>
          <t>гвоздика кофейных оттенков × 15</t>
        </is>
      </c>
      <c r="E12" s="6" t="inlineStr">
        <is>
          <t>Пятнадцать гвоздик кофейных оттенков — от какао до карамели. Плотная шапка, которая долго держит форму.</t>
        </is>
      </c>
      <c r="F12" s="7">
        <f>Прайс!$G$6</f>
        <v/>
      </c>
      <c r="G12" s="7">
        <f>15*Прайс!$D$33+$F12</f>
        <v/>
      </c>
      <c r="H12" s="7" t="n">
        <v>1690</v>
      </c>
      <c r="I12" s="7">
        <f>IF(ISNUMBER($G12),$H12-$G12,"—")</f>
        <v/>
      </c>
      <c r="J12" s="8">
        <f>IF(ISNUMBER($G12),($H12-$G12)/$H12,"—")</f>
        <v/>
      </c>
      <c r="K12" s="6" t="inlineStr">
        <is>
          <t>круглый год</t>
        </is>
      </c>
      <c r="L12" s="9" t="inlineStr">
        <is>
          <t>да</t>
        </is>
      </c>
      <c r="M12" s="6" t="inlineStr">
        <is>
          <t>новый — завести через /add</t>
        </is>
      </c>
      <c r="N12" s="6" t="inlineStr">
        <is>
          <t>новый · оттенок «кофейный» в прайсе не выделен — счёт по «гвоздика Эквадор» (00026)</t>
        </is>
      </c>
    </row>
    <row r="13" ht="45" customHeight="1">
      <c r="A13" s="3" t="inlineStr">
        <is>
          <t>NEW-08</t>
        </is>
      </c>
      <c r="B13" s="4" t="inlineStr">
        <is>
          <t>Фарфор</t>
        </is>
      </c>
      <c r="C13" s="5" t="inlineStr">
        <is>
          <t>Стандарт</t>
        </is>
      </c>
      <c r="D13" s="6" t="inlineStr">
        <is>
          <t>роза Горкунов белая 50 см × 9</t>
        </is>
      </c>
      <c r="E13" s="6" t="inlineStr">
        <is>
          <t>Девять белых роз Горкунова на пятидесятой ноге. Чистая классика без зелени и лишнего декора.</t>
        </is>
      </c>
      <c r="F13" s="7">
        <f>Прайс!$G$5</f>
        <v/>
      </c>
      <c r="G13" s="7">
        <f>9*Прайс!$D$74+$F13</f>
        <v/>
      </c>
      <c r="H13" s="7" t="n">
        <v>1890</v>
      </c>
      <c r="I13" s="7">
        <f>IF(ISNUMBER($G13),$H13-$G13,"—")</f>
        <v/>
      </c>
      <c r="J13" s="8">
        <f>IF(ISNUMBER($G13),($H13-$G13)/$H13,"—")</f>
        <v/>
      </c>
      <c r="K13" s="6" t="inlineStr">
        <is>
          <t>круглый год</t>
        </is>
      </c>
      <c r="L13" s="9" t="inlineStr">
        <is>
          <t>да</t>
        </is>
      </c>
      <c r="M13" s="6" t="inlineStr">
        <is>
          <t>новый — завести через /add</t>
        </is>
      </c>
      <c r="N13" s="6" t="inlineStr">
        <is>
          <t>новый · цвет в прайсе не выделен — счёт по «Роза ГОРКУНОВ 50 см одног» (01065)</t>
        </is>
      </c>
    </row>
    <row r="14" ht="45" customHeight="1">
      <c r="A14" s="3" t="inlineStr">
        <is>
          <t>NEW-09</t>
        </is>
      </c>
      <c r="B14" s="4" t="inlineStr">
        <is>
          <t>Первоклассник</t>
        </is>
      </c>
      <c r="C14" s="5" t="inlineStr">
        <is>
          <t>Стандарт</t>
        </is>
      </c>
      <c r="D14" s="6" t="inlineStr">
        <is>
          <t>роза Кения красная 40 см × 9, солидаго × 3</t>
        </is>
      </c>
      <c r="E14" s="6" t="inlineStr">
        <is>
          <t>Девять красных роз с солидаго — букет к первому звонку, который не рассыпется по дороге в школу.</t>
        </is>
      </c>
      <c r="F14" s="7">
        <f>Прайс!$G$6</f>
        <v/>
      </c>
      <c r="G14" s="7">
        <f>9*Прайс!$D$78+3*Прайс!$D$115+$F14</f>
        <v/>
      </c>
      <c r="H14" s="7" t="n">
        <v>1890</v>
      </c>
      <c r="I14" s="7">
        <f>IF(ISNUMBER($G14),$H14-$G14,"—")</f>
        <v/>
      </c>
      <c r="J14" s="8">
        <f>IF(ISNUMBER($G14),($H14-$G14)/$H14,"—")</f>
        <v/>
      </c>
      <c r="K14" s="6" t="inlineStr">
        <is>
          <t>1 сентября</t>
        </is>
      </c>
      <c r="L14" s="9" t="inlineStr">
        <is>
          <t>да</t>
        </is>
      </c>
      <c r="M14" s="6" t="inlineStr">
        <is>
          <t>новый — завести через /add</t>
        </is>
      </c>
      <c r="N14" s="6" t="inlineStr">
        <is>
          <t>новый · цена поднята с 1590 ₽: с упаковкой (140 ₽) маржа была 49,9% (&lt;50%), новая маржа 57,9%</t>
        </is>
      </c>
    </row>
    <row r="15" ht="45" customHeight="1">
      <c r="A15" s="3" t="inlineStr">
        <is>
          <t>NEW-10</t>
        </is>
      </c>
      <c r="B15" s="4" t="inlineStr">
        <is>
          <t>Луч</t>
        </is>
      </c>
      <c r="C15" s="5" t="inlineStr">
        <is>
          <t>Стандарт</t>
        </is>
      </c>
      <c r="D15" s="6" t="inlineStr">
        <is>
          <t>подсолнух × 3, гиперикум × 3</t>
        </is>
      </c>
      <c r="E15" s="6" t="inlineStr">
        <is>
          <t>Три подсолнуха с гроздьями гиперикума — светится даже в пасмурный день. Берут учителю, соседке, маме «просто так».</t>
        </is>
      </c>
      <c r="F15" s="7">
        <f>Прайс!$G$5</f>
        <v/>
      </c>
      <c r="G15" s="7">
        <f>3*Прайс!$D$68+3*Прайс!$D$37+$F15</f>
        <v/>
      </c>
      <c r="H15" s="7" t="n">
        <v>1990</v>
      </c>
      <c r="I15" s="7">
        <f>IF(ISNUMBER($G15),$H15-$G15,"—")</f>
        <v/>
      </c>
      <c r="J15" s="8">
        <f>IF(ISNUMBER($G15),($H15-$G15)/$H15,"—")</f>
        <v/>
      </c>
      <c r="K15" s="6" t="inlineStr">
        <is>
          <t>конец лета, 1 сентября</t>
        </is>
      </c>
      <c r="L15" s="9" t="inlineStr">
        <is>
          <t>да</t>
        </is>
      </c>
      <c r="M15" s="6" t="inlineStr">
        <is>
          <t>новый — завести через /add</t>
        </is>
      </c>
      <c r="N15" s="6" t="inlineStr">
        <is>
          <t>новый · цена поднята с 1490 ₽: с упаковкой (90 ₽) маржа была 43,7% (&lt;50%), новая маржа 57,8%</t>
        </is>
      </c>
    </row>
    <row r="16" ht="60" customHeight="1">
      <c r="A16" s="3" t="inlineStr">
        <is>
          <t>NEW-11</t>
        </is>
      </c>
      <c r="B16" s="4" t="inlineStr">
        <is>
          <t>Лиса</t>
        </is>
      </c>
      <c r="C16" s="5" t="inlineStr">
        <is>
          <t>Стандарт</t>
        </is>
      </c>
      <c r="D16" s="6" t="inlineStr">
        <is>
          <t>георгин × 5</t>
        </is>
      </c>
      <c r="E16" s="6" t="inlineStr">
        <is>
          <t>Пять георгинов с рыжими и медными переливами. Осенний характер: чуть растрёпанный, но собранный.</t>
        </is>
      </c>
      <c r="F16" s="7">
        <f>Прайс!$G$5</f>
        <v/>
      </c>
      <c r="G16" s="7">
        <f>5*Прайс!$D$35+$F16</f>
        <v/>
      </c>
      <c r="H16" s="7" t="n">
        <v>1990</v>
      </c>
      <c r="I16" s="7">
        <f>IF(ISNUMBER($G16),$H16-$G16,"—")</f>
        <v/>
      </c>
      <c r="J16" s="8">
        <f>IF(ISNUMBER($G16),($H16-$G16)/$H16,"—")</f>
        <v/>
      </c>
      <c r="K16" s="6" t="inlineStr">
        <is>
          <t>осень</t>
        </is>
      </c>
      <c r="L16" s="9" t="inlineStr">
        <is>
          <t>да</t>
        </is>
      </c>
      <c r="M16" s="6" t="inlineStr">
        <is>
          <t>новый — завести через /add</t>
        </is>
      </c>
      <c r="N16" s="6" t="inlineStr">
        <is>
          <t>новый · цена поднята с 1490 ₽: с упаковкой (90 ₽) маржа была 43,6% (&lt;50%), новая маржа 57,8% · в прайсе также «Георгин Китай» 99,90 ₽ (01296) — счёт по основной позиции «Георгина» (01018)</t>
        </is>
      </c>
    </row>
    <row r="17" ht="45" customHeight="1">
      <c r="A17" s="3" t="inlineStr">
        <is>
          <t>NEW-12</t>
        </is>
      </c>
      <c r="B17" s="4" t="inlineStr">
        <is>
          <t>Рубиновый Закат</t>
        </is>
      </c>
      <c r="C17" s="5" t="inlineStr">
        <is>
          <t>Стандарт</t>
        </is>
      </c>
      <c r="D17" s="6" t="inlineStr">
        <is>
          <t>роза Кения красная 40 см × 21</t>
        </is>
      </c>
      <c r="E17" s="6" t="inlineStr">
        <is>
          <t>Двадцать одна красная кенийская роза плотной сборкой. Недорогой способ сказать серьёзное.</t>
        </is>
      </c>
      <c r="F17" s="7">
        <f>Прайс!$G$6</f>
        <v/>
      </c>
      <c r="G17" s="7">
        <f>21*Прайс!$D$78+$F17</f>
        <v/>
      </c>
      <c r="H17" s="7" t="n">
        <v>1990</v>
      </c>
      <c r="I17" s="7">
        <f>IF(ISNUMBER($G17),$H17-$G17,"—")</f>
        <v/>
      </c>
      <c r="J17" s="8">
        <f>IF(ISNUMBER($G17),($H17-$G17)/$H17,"—")</f>
        <v/>
      </c>
      <c r="K17" s="6" t="inlineStr">
        <is>
          <t>свидание, годовщина</t>
        </is>
      </c>
      <c r="L17" s="9" t="inlineStr">
        <is>
          <t>да</t>
        </is>
      </c>
      <c r="M17" s="6" t="inlineStr">
        <is>
          <t>новый — завести через /add</t>
        </is>
      </c>
      <c r="N17" s="6" t="inlineStr">
        <is>
          <t>новый</t>
        </is>
      </c>
    </row>
    <row r="18" ht="75" customHeight="1">
      <c r="A18" s="3" t="inlineStr">
        <is>
          <t>PRD-04</t>
        </is>
      </c>
      <c r="B18" s="10" t="inlineStr">
        <is>
          <t>Солнце</t>
        </is>
      </c>
      <c r="C18" s="11" t="inlineStr">
        <is>
          <t>Премиум</t>
        </is>
      </c>
      <c r="D18" s="6" t="inlineStr">
        <is>
          <t>подсолнух × 9</t>
        </is>
      </c>
      <c r="E18" s="6" t="inlineStr">
        <is>
          <t>Девять подсолнухов без зелени и упаковки. Прямолинейный букет — его нельзя перепутать ни с чем и не нужно объяснять.</t>
        </is>
      </c>
      <c r="F18" s="7">
        <f>Прайс!$G$5</f>
        <v/>
      </c>
      <c r="G18" s="7">
        <f>9*Прайс!$D$68+$F18</f>
        <v/>
      </c>
      <c r="H18" s="7" t="n">
        <v>3690</v>
      </c>
      <c r="I18" s="7">
        <f>IF(ISNUMBER($G18),$H18-$G18,"—")</f>
        <v/>
      </c>
      <c r="J18" s="8">
        <f>IF(ISNUMBER($G18),($H18-$G18)/$H18,"—")</f>
        <v/>
      </c>
      <c r="K18" s="6" t="inlineStr">
        <is>
          <t>лето–осень</t>
        </is>
      </c>
      <c r="L18" s="9" t="inlineStr">
        <is>
          <t>да</t>
        </is>
      </c>
      <c r="M18" s="6" t="inlineStr">
        <is>
          <t>в каталоге бота</t>
        </is>
      </c>
      <c r="N18" s="6" t="inlineStr">
        <is>
          <t>сейчас в боте · категория проставлена по ценовой сетке каталога — подтвердить · цена живая, в боте стоит 2790 ₽ — обновить через /edit · цена поднята с 2790 ₽: с упаковкой (90 ₽) маржа была 45,2% (&lt;50%), новая маржа 58,6%</t>
        </is>
      </c>
    </row>
    <row r="19" ht="45" customHeight="1">
      <c r="A19" s="3" t="inlineStr">
        <is>
          <t>PRD-05</t>
        </is>
      </c>
      <c r="B19" s="10" t="inlineStr">
        <is>
          <t>Антуриум</t>
        </is>
      </c>
      <c r="C19" s="11" t="inlineStr">
        <is>
          <t>Премиум</t>
        </is>
      </c>
      <c r="D19" s="6" t="inlineStr">
        <is>
          <t>антуриум срезка × 7</t>
        </is>
      </c>
      <c r="E19" s="6" t="inlineStr">
        <is>
          <t>Семь срезанных антуриумов: глянцевые лаковые покрывала, ничего лишнего. Для тех, кому не нужны лепестки.</t>
        </is>
      </c>
      <c r="F19" s="7">
        <f>Прайс!$G$5</f>
        <v/>
      </c>
      <c r="G19" s="7">
        <f>7*Прайс!$D$2+$F19</f>
        <v/>
      </c>
      <c r="H19" s="7" t="n">
        <v>3990</v>
      </c>
      <c r="I19" s="7">
        <f>IF(ISNUMBER($G19),$H19-$G19,"—")</f>
        <v/>
      </c>
      <c r="J19" s="8">
        <f>IF(ISNUMBER($G19),($H19-$G19)/$H19,"—")</f>
        <v/>
      </c>
      <c r="K19" s="6" t="inlineStr">
        <is>
          <t>мужчине, новоселье</t>
        </is>
      </c>
      <c r="L19" s="9" t="inlineStr">
        <is>
          <t>да</t>
        </is>
      </c>
      <c r="M19" s="6" t="inlineStr">
        <is>
          <t>в каталоге бота</t>
        </is>
      </c>
      <c r="N19" s="6" t="inlineStr">
        <is>
          <t>сейчас в боте · категория проставлена по ценовой сетке каталога — подтвердить</t>
        </is>
      </c>
    </row>
    <row r="20" ht="60" customHeight="1">
      <c r="A20" s="3" t="inlineStr">
        <is>
          <t>PRD-06</t>
        </is>
      </c>
      <c r="B20" s="10" t="inlineStr">
        <is>
          <t>Пионовидный сад</t>
        </is>
      </c>
      <c r="C20" s="11" t="inlineStr">
        <is>
          <t>Премиум</t>
        </is>
      </c>
      <c r="D20" s="6" t="inlineStr">
        <is>
          <t>роза Эквадор пионовидная 60 см × 15</t>
        </is>
      </c>
      <c r="E20" s="6" t="inlineStr">
        <is>
          <t>Пятнадцать эквадорских пионовидных роз на шестидесятой ноге. Плотные тяжёлые головы, которые раскрываются в чашу.</t>
        </is>
      </c>
      <c r="F20" s="7">
        <f>Прайс!$G$6</f>
        <v/>
      </c>
      <c r="G20" s="7">
        <f>15*Прайс!$D$97+$F20</f>
        <v/>
      </c>
      <c r="H20" s="7" t="n">
        <v>4290</v>
      </c>
      <c r="I20" s="7">
        <f>IF(ISNUMBER($G20),$H20-$G20,"—")</f>
        <v/>
      </c>
      <c r="J20" s="8">
        <f>IF(ISNUMBER($G20),($H20-$G20)/$H20,"—")</f>
        <v/>
      </c>
      <c r="K20" s="6" t="inlineStr">
        <is>
          <t>свадьба, годовщина</t>
        </is>
      </c>
      <c r="L20" s="9" t="inlineStr">
        <is>
          <t>да</t>
        </is>
      </c>
      <c r="M20" s="6" t="inlineStr">
        <is>
          <t>в каталоге бота</t>
        </is>
      </c>
      <c r="N20" s="6" t="inlineStr">
        <is>
          <t>сейчас в боте · категория проставлена по ценовой сетке каталога — подтвердить · в прайсе позиция называется «Роза Эквадор Пионовидная + Сорт 60 см» (00673) — отдельной «чисто пионовидной» нет</t>
        </is>
      </c>
    </row>
    <row r="21" ht="105" customHeight="1">
      <c r="A21" s="3" t="inlineStr">
        <is>
          <t>PRD-07</t>
        </is>
      </c>
      <c r="B21" s="10" t="inlineStr">
        <is>
          <t>Густой август</t>
        </is>
      </c>
      <c r="C21" s="11" t="inlineStr">
        <is>
          <t>Премиум</t>
        </is>
      </c>
      <c r="D21" s="6" t="inlineStr">
        <is>
          <t>подсолнух × 7, гиперикум × 3, эвкалипт × 1</t>
        </is>
      </c>
      <c r="E21" s="6" t="inlineStr">
        <is>
          <t>Семь подсолнухов, гиперикум и ветка эвкалипта — тёплый, чуть пыльный августовский букет. Пахнет концом лета.</t>
        </is>
      </c>
      <c r="F21" s="7">
        <f>Прайс!$G$5</f>
        <v/>
      </c>
      <c r="G21" s="7">
        <f>7*Прайс!$D$68+3*Прайс!$D$37+1*Прайс!$D$140+$F21</f>
        <v/>
      </c>
      <c r="H21" s="7" t="n">
        <v>4490</v>
      </c>
      <c r="I21" s="7">
        <f>IF(ISNUMBER($G21),$H21-$G21,"—")</f>
        <v/>
      </c>
      <c r="J21" s="8">
        <f>IF(ISNUMBER($G21),($H21-$G21)/$H21,"—")</f>
        <v/>
      </c>
      <c r="K21" s="6" t="inlineStr">
        <is>
          <t>август, 1 сентября</t>
        </is>
      </c>
      <c r="L21" s="9" t="inlineStr">
        <is>
          <t>да</t>
        </is>
      </c>
      <c r="M21" s="6" t="inlineStr">
        <is>
          <t>в каталоге бота</t>
        </is>
      </c>
      <c r="N21" s="6" t="inlineStr">
        <is>
          <t>сейчас в боте · категория проставлена по ценовой сетке каталога — подтвердить · цена живая, в боте стоит 3690 ₽ — обновить через /edit · цена поднята с 3690 ₽: с упаковкой (90 ₽) маржа была 49,3% (&lt;50%), новая маржа 58,4% · в прайсе «эвкалипт» 390 ₽ (00350) без указания фасовки (шт/пучок) — счёт как за штуку</t>
        </is>
      </c>
    </row>
    <row r="22" ht="75" customHeight="1">
      <c r="A22" s="3" t="inlineStr">
        <is>
          <t>PRD-08</t>
        </is>
      </c>
      <c r="B22" s="10" t="inlineStr">
        <is>
          <t>Эустома</t>
        </is>
      </c>
      <c r="C22" s="11" t="inlineStr">
        <is>
          <t>Премиум</t>
        </is>
      </c>
      <c r="D22" s="6" t="inlineStr">
        <is>
          <t>эустома PREMIUM × 11</t>
        </is>
      </c>
      <c r="E22" s="6" t="inlineStr">
        <is>
          <t>Одиннадцать веток эустомы PREMIUM — крупные бутоны на длинной ноге. Монобукет, который выглядит дороже своей цены.</t>
        </is>
      </c>
      <c r="F22" s="7">
        <f>Прайс!$G$5</f>
        <v/>
      </c>
      <c r="G22" s="7">
        <f>11*Прайс!$D$159+$F22</f>
        <v/>
      </c>
      <c r="H22" s="7" t="n">
        <v>4690</v>
      </c>
      <c r="I22" s="7">
        <f>IF(ISNUMBER($G22),$H22-$G22,"—")</f>
        <v/>
      </c>
      <c r="J22" s="8">
        <f>IF(ISNUMBER($G22),($H22-$G22)/$H22,"—")</f>
        <v/>
      </c>
      <c r="K22" s="6" t="inlineStr">
        <is>
          <t>круглый год</t>
        </is>
      </c>
      <c r="L22" s="9" t="inlineStr">
        <is>
          <t>да</t>
        </is>
      </c>
      <c r="M22" s="6" t="inlineStr">
        <is>
          <t>в каталоге бота</t>
        </is>
      </c>
      <c r="N22" s="6" t="inlineStr">
        <is>
          <t>сейчас в боте · категория проставлена по ценовой сетке каталога — подтвердить · цена живая, в боте стоит 3290 ₽ — обновить через /edit · цена поднята с 3290 ₽: с упаковкой (90 ₽) маржа была 40,5% (&lt;50%), новая маржа 58,2%</t>
        </is>
      </c>
    </row>
    <row r="23" ht="60" customHeight="1">
      <c r="A23" s="3" t="inlineStr">
        <is>
          <t>PRD-09</t>
        </is>
      </c>
      <c r="B23" s="10" t="inlineStr">
        <is>
          <t>Тотал ред</t>
        </is>
      </c>
      <c r="C23" s="11" t="inlineStr">
        <is>
          <t>Премиум</t>
        </is>
      </c>
      <c r="D23" s="6" t="inlineStr">
        <is>
          <t>роза Ред Наоми 60 см × 25</t>
        </is>
      </c>
      <c r="E23" s="6" t="inlineStr">
        <is>
          <t>Двадцать пять роз Ред Наоми на шестидесятой ноге: тёмный бархатный красный, который на фото выглядит почти чёрным.</t>
        </is>
      </c>
      <c r="F23" s="7">
        <f>Прайс!$G$6</f>
        <v/>
      </c>
      <c r="G23" s="7">
        <f>25*Прайс!$D$299+$F23</f>
        <v/>
      </c>
      <c r="H23" s="7" t="n">
        <v>4990</v>
      </c>
      <c r="I23" s="7">
        <f>IF(ISNUMBER($G23),$H23-$G23,"—")</f>
        <v/>
      </c>
      <c r="J23" s="8">
        <f>IF(ISNUMBER($G23),($H23-$G23)/$H23,"—")</f>
        <v/>
      </c>
      <c r="K23" s="6" t="inlineStr">
        <is>
          <t>свидание, годовщина</t>
        </is>
      </c>
      <c r="L23" s="9" t="inlineStr">
        <is>
          <t>да</t>
        </is>
      </c>
      <c r="M23" s="6" t="inlineStr">
        <is>
          <t>в каталоге бота</t>
        </is>
      </c>
      <c r="N23" s="6" t="inlineStr">
        <is>
          <t>сейчас в боте · категория проставлена по ценовой сетке каталога — подтвердить · в прайсе две позиции «Ред Наоми 60 см»: Горкунов 87,90 ₽ (01461) и Флорентика 81,00 ₽ (01412) — счёт по Горкунову</t>
        </is>
      </c>
    </row>
    <row r="24" ht="45" customHeight="1">
      <c r="A24" s="3" t="inlineStr">
        <is>
          <t>NEW-13</t>
        </is>
      </c>
      <c r="B24" s="10" t="inlineStr">
        <is>
          <t>Азбука</t>
        </is>
      </c>
      <c r="C24" s="11" t="inlineStr">
        <is>
          <t>Премиум</t>
        </is>
      </c>
      <c r="D24" s="6" t="inlineStr">
        <is>
          <t>хризантема кустовая Бакарди белая × 7, гиперикум × 3</t>
        </is>
      </c>
      <c r="E24" s="6" t="inlineStr">
        <is>
          <t>Белая кустовая хризантема с гиперикумом — сдержанный светлый букет для классного руководителя.</t>
        </is>
      </c>
      <c r="F24" s="7">
        <f>Прайс!$G$5</f>
        <v/>
      </c>
      <c r="G24" s="7">
        <f>7*Прайс!$D$160+3*Прайс!$D$37+$F24</f>
        <v/>
      </c>
      <c r="H24" s="7" t="n">
        <v>2190</v>
      </c>
      <c r="I24" s="7">
        <f>IF(ISNUMBER($G24),$H24-$G24,"—")</f>
        <v/>
      </c>
      <c r="J24" s="8">
        <f>IF(ISNUMBER($G24),($H24-$G24)/$H24,"—")</f>
        <v/>
      </c>
      <c r="K24" s="6" t="inlineStr">
        <is>
          <t>1 сентября</t>
        </is>
      </c>
      <c r="L24" s="9" t="inlineStr">
        <is>
          <t>нет</t>
        </is>
      </c>
      <c r="M24" s="6" t="inlineStr">
        <is>
          <t>новый — завести через /add</t>
        </is>
      </c>
      <c r="N24" s="6" t="inlineStr">
        <is>
          <t>новый · блок «1 сентября»</t>
        </is>
      </c>
    </row>
    <row r="25" ht="45" customHeight="1">
      <c r="A25" s="3" t="inlineStr">
        <is>
          <t>NEW-14</t>
        </is>
      </c>
      <c r="B25" s="10" t="inlineStr">
        <is>
          <t>Пенал</t>
        </is>
      </c>
      <c r="C25" s="11" t="inlineStr">
        <is>
          <t>Премиум</t>
        </is>
      </c>
      <c r="D25" s="6" t="inlineStr">
        <is>
          <t>гербера × 9, гиперикум × 4</t>
        </is>
      </c>
      <c r="E25" s="6" t="inlineStr">
        <is>
          <t>Девять гербер и гиперикум — яркий и крепкий, не боится дороги до школы. Собирается за пять минут.</t>
        </is>
      </c>
      <c r="F25" s="7">
        <f>Прайс!$G$6</f>
        <v/>
      </c>
      <c r="G25" s="7">
        <f>9*Прайс!$D$36+4*Прайс!$D$37+$F25</f>
        <v/>
      </c>
      <c r="H25" s="7" t="n">
        <v>2290</v>
      </c>
      <c r="I25" s="7">
        <f>IF(ISNUMBER($G25),$H25-$G25,"—")</f>
        <v/>
      </c>
      <c r="J25" s="8">
        <f>IF(ISNUMBER($G25),($H25-$G25)/$H25,"—")</f>
        <v/>
      </c>
      <c r="K25" s="6" t="inlineStr">
        <is>
          <t>1 сентября</t>
        </is>
      </c>
      <c r="L25" s="9" t="inlineStr">
        <is>
          <t>нет</t>
        </is>
      </c>
      <c r="M25" s="6" t="inlineStr">
        <is>
          <t>новый — завести через /add</t>
        </is>
      </c>
      <c r="N25" s="6" t="inlineStr">
        <is>
          <t>новый · блок «1 сентября»</t>
        </is>
      </c>
    </row>
    <row r="26" ht="45" customHeight="1">
      <c r="A26" s="3" t="inlineStr">
        <is>
          <t>NEW-15</t>
        </is>
      </c>
      <c r="B26" s="10" t="inlineStr">
        <is>
          <t>Линейка</t>
        </is>
      </c>
      <c r="C26" s="11" t="inlineStr">
        <is>
          <t>Премиум</t>
        </is>
      </c>
      <c r="D26" s="6" t="inlineStr">
        <is>
          <t>гвоздика микс × 15, солидаго × 3</t>
        </is>
      </c>
      <c r="E26" s="6" t="inlineStr">
        <is>
          <t>Пятнадцать гвоздик с солидаго — плотный купол в школьных красно-жёлтых тонах.</t>
        </is>
      </c>
      <c r="F26" s="7">
        <f>Прайс!$G$6</f>
        <v/>
      </c>
      <c r="G26" s="7">
        <f>15*Прайс!$D$33+3*Прайс!$D$115+$F26</f>
        <v/>
      </c>
      <c r="H26" s="7" t="n">
        <v>2290</v>
      </c>
      <c r="I26" s="7">
        <f>IF(ISNUMBER($G26),$H26-$G26,"—")</f>
        <v/>
      </c>
      <c r="J26" s="8">
        <f>IF(ISNUMBER($G26),($H26-$G26)/$H26,"—")</f>
        <v/>
      </c>
      <c r="K26" s="6" t="inlineStr">
        <is>
          <t>1 сентября</t>
        </is>
      </c>
      <c r="L26" s="9" t="inlineStr">
        <is>
          <t>нет</t>
        </is>
      </c>
      <c r="M26" s="6" t="inlineStr">
        <is>
          <t>новый — завести через /add</t>
        </is>
      </c>
      <c r="N26" s="6" t="inlineStr">
        <is>
          <t>новый · блок «1 сентября» · микс в прайсе не выделен — счёт по «гвоздика Эквадор» (00026)</t>
        </is>
      </c>
    </row>
    <row r="27" ht="45" customHeight="1">
      <c r="A27" s="3" t="inlineStr">
        <is>
          <t>NEW-16</t>
        </is>
      </c>
      <c r="B27" s="10" t="inlineStr">
        <is>
          <t>Перемена</t>
        </is>
      </c>
      <c r="C27" s="11" t="inlineStr">
        <is>
          <t>Премиум</t>
        </is>
      </c>
      <c r="D27" s="6" t="inlineStr">
        <is>
          <t>гладиолус × 7, хризантема кустовая цветная × 3</t>
        </is>
      </c>
      <c r="E27" s="6" t="inlineStr">
        <is>
          <t>Семь гладиолусов с кустовой хризантемой — высокий букет для линейки, видно с последнего ряда.</t>
        </is>
      </c>
      <c r="F27" s="7">
        <f>Прайс!$G$5</f>
        <v/>
      </c>
      <c r="G27" s="7">
        <f>7*Прайс!$D$40+3*Прайс!$D$122+$F27</f>
        <v/>
      </c>
      <c r="H27" s="7" t="n">
        <v>2390</v>
      </c>
      <c r="I27" s="7">
        <f>IF(ISNUMBER($G27),$H27-$G27,"—")</f>
        <v/>
      </c>
      <c r="J27" s="8">
        <f>IF(ISNUMBER($G27),($H27-$G27)/$H27,"—")</f>
        <v/>
      </c>
      <c r="K27" s="6" t="inlineStr">
        <is>
          <t>1 сентября</t>
        </is>
      </c>
      <c r="L27" s="9" t="inlineStr">
        <is>
          <t>нет</t>
        </is>
      </c>
      <c r="M27" s="6" t="inlineStr">
        <is>
          <t>новый — завести через /add</t>
        </is>
      </c>
      <c r="N27" s="6" t="inlineStr">
        <is>
          <t>новый · блок «1 сентября»</t>
        </is>
      </c>
    </row>
    <row r="28" ht="45" customHeight="1">
      <c r="A28" s="3" t="inlineStr">
        <is>
          <t>NEW-17</t>
        </is>
      </c>
      <c r="B28" s="10" t="inlineStr">
        <is>
          <t>Ранец</t>
        </is>
      </c>
      <c r="C28" s="11" t="inlineStr">
        <is>
          <t>Премиум</t>
        </is>
      </c>
      <c r="D28" s="6" t="inlineStr">
        <is>
          <t>гладиолус × 5, гербера × 5, солидаго × 2</t>
        </is>
      </c>
      <c r="E28" s="6" t="inlineStr">
        <is>
          <t>Гладиолусы, герберы и солидаго — крепкая конструкция, которую можно везти в машине лёжа.</t>
        </is>
      </c>
      <c r="F28" s="7">
        <f>Прайс!$G$6</f>
        <v/>
      </c>
      <c r="G28" s="7">
        <f>5*Прайс!$D$40+5*Прайс!$D$36+2*Прайс!$D$115+$F28</f>
        <v/>
      </c>
      <c r="H28" s="7" t="n">
        <v>2390</v>
      </c>
      <c r="I28" s="7">
        <f>IF(ISNUMBER($G28),$H28-$G28,"—")</f>
        <v/>
      </c>
      <c r="J28" s="8">
        <f>IF(ISNUMBER($G28),($H28-$G28)/$H28,"—")</f>
        <v/>
      </c>
      <c r="K28" s="6" t="inlineStr">
        <is>
          <t>1 сентября</t>
        </is>
      </c>
      <c r="L28" s="9" t="inlineStr">
        <is>
          <t>нет</t>
        </is>
      </c>
      <c r="M28" s="6" t="inlineStr">
        <is>
          <t>новый — завести через /add</t>
        </is>
      </c>
      <c r="N28" s="6" t="inlineStr">
        <is>
          <t>новый · блок «1 сентября»</t>
        </is>
      </c>
    </row>
    <row r="29" ht="45" customHeight="1">
      <c r="A29" s="3" t="inlineStr">
        <is>
          <t>NEW-18</t>
        </is>
      </c>
      <c r="B29" s="10" t="inlineStr">
        <is>
          <t>Звонок</t>
        </is>
      </c>
      <c r="C29" s="11" t="inlineStr">
        <is>
          <t>Премиум</t>
        </is>
      </c>
      <c r="D29" s="6" t="inlineStr">
        <is>
          <t>гладиолус × 11</t>
        </is>
      </c>
      <c r="E29" s="6" t="inlineStr">
        <is>
          <t>Одиннадцать гладиолусов: высокий торжественный букет для линейки и сцены. Виден из последнего ряда.</t>
        </is>
      </c>
      <c r="F29" s="7">
        <f>Прайс!$G$5</f>
        <v/>
      </c>
      <c r="G29" s="7">
        <f>11*Прайс!$D$40+$F29</f>
        <v/>
      </c>
      <c r="H29" s="7" t="n">
        <v>2490</v>
      </c>
      <c r="I29" s="7">
        <f>IF(ISNUMBER($G29),$H29-$G29,"—")</f>
        <v/>
      </c>
      <c r="J29" s="8">
        <f>IF(ISNUMBER($G29),($H29-$G29)/$H29,"—")</f>
        <v/>
      </c>
      <c r="K29" s="6" t="inlineStr">
        <is>
          <t>1 сентября, юбилей</t>
        </is>
      </c>
      <c r="L29" s="9" t="inlineStr">
        <is>
          <t>да</t>
        </is>
      </c>
      <c r="M29" s="6" t="inlineStr">
        <is>
          <t>новый — завести через /add</t>
        </is>
      </c>
      <c r="N29" s="6" t="inlineStr">
        <is>
          <t>новый</t>
        </is>
      </c>
    </row>
    <row r="30" ht="45" customHeight="1">
      <c r="A30" s="3" t="inlineStr">
        <is>
          <t>NEW-19</t>
        </is>
      </c>
      <c r="B30" s="10" t="inlineStr">
        <is>
          <t>Глобус</t>
        </is>
      </c>
      <c r="C30" s="11" t="inlineStr">
        <is>
          <t>Премиум</t>
        </is>
      </c>
      <c r="D30" s="6" t="inlineStr">
        <is>
          <t>хризантема кустовая цветная × 9, солидаго × 3</t>
        </is>
      </c>
      <c r="E30" s="6" t="inlineStr">
        <is>
          <t>Кустовая хризантема с солидаго: пушистый жёлто-зелёный шар, который простоит на учительском столе две недели.</t>
        </is>
      </c>
      <c r="F30" s="7">
        <f>Прайс!$G$6</f>
        <v/>
      </c>
      <c r="G30" s="7">
        <f>9*Прайс!$D$122+3*Прайс!$D$115+$F30</f>
        <v/>
      </c>
      <c r="H30" s="7" t="n">
        <v>2490</v>
      </c>
      <c r="I30" s="7">
        <f>IF(ISNUMBER($G30),$H30-$G30,"—")</f>
        <v/>
      </c>
      <c r="J30" s="8">
        <f>IF(ISNUMBER($G30),($H30-$G30)/$H30,"—")</f>
        <v/>
      </c>
      <c r="K30" s="6" t="inlineStr">
        <is>
          <t>1 сентября</t>
        </is>
      </c>
      <c r="L30" s="9" t="inlineStr">
        <is>
          <t>нет</t>
        </is>
      </c>
      <c r="M30" s="6" t="inlineStr">
        <is>
          <t>новый — завести через /add</t>
        </is>
      </c>
      <c r="N30" s="6" t="inlineStr">
        <is>
          <t>новый · блок «1 сентября»</t>
        </is>
      </c>
    </row>
    <row r="31" ht="45" customHeight="1">
      <c r="A31" s="3" t="inlineStr">
        <is>
          <t>NEW-20</t>
        </is>
      </c>
      <c r="B31" s="10" t="inlineStr">
        <is>
          <t>Мелок</t>
        </is>
      </c>
      <c r="C31" s="11" t="inlineStr">
        <is>
          <t>Премиум</t>
        </is>
      </c>
      <c r="D31" s="6" t="inlineStr">
        <is>
          <t>альстромерия Эквадор 60 см × 11, хризантема кустовая цветная × 3</t>
        </is>
      </c>
      <c r="E31" s="6" t="inlineStr">
        <is>
          <t>Одиннадцать альстромерий с кустовой хризантемой. Самый стойкий вариант на 1 сентября: доживёт до октября.</t>
        </is>
      </c>
      <c r="F31" s="7">
        <f>Прайс!$G$6</f>
        <v/>
      </c>
      <c r="G31" s="7">
        <f>11*Прайс!$D$315+3*Прайс!$D$122+$F31</f>
        <v/>
      </c>
      <c r="H31" s="7" t="n">
        <v>2490</v>
      </c>
      <c r="I31" s="7">
        <f>IF(ISNUMBER($G31),$H31-$G31,"—")</f>
        <v/>
      </c>
      <c r="J31" s="8">
        <f>IF(ISNUMBER($G31),($H31-$G31)/$H31,"—")</f>
        <v/>
      </c>
      <c r="K31" s="6" t="inlineStr">
        <is>
          <t>1 сентября</t>
        </is>
      </c>
      <c r="L31" s="9" t="inlineStr">
        <is>
          <t>нет</t>
        </is>
      </c>
      <c r="M31" s="6" t="inlineStr">
        <is>
          <t>новый — завести через /add</t>
        </is>
      </c>
      <c r="N31" s="6" t="inlineStr">
        <is>
          <t>новый · блок «1 сентября»</t>
        </is>
      </c>
    </row>
    <row r="32" ht="45" customHeight="1">
      <c r="A32" s="3" t="inlineStr">
        <is>
          <t>NEW-21</t>
        </is>
      </c>
      <c r="B32" s="10" t="inlineStr">
        <is>
          <t>Циркуль</t>
        </is>
      </c>
      <c r="C32" s="11" t="inlineStr">
        <is>
          <t>Премиум</t>
        </is>
      </c>
      <c r="D32" s="6" t="inlineStr">
        <is>
          <t>гербера × 5, альстромерия Эквадор 60 см × 7, гиперикум × 3</t>
        </is>
      </c>
      <c r="E32" s="6" t="inlineStr">
        <is>
          <t>Гербера, альстромерия и гиперикум: компактный букет, который первокласснику удобно нести самому.</t>
        </is>
      </c>
      <c r="F32" s="7">
        <f>Прайс!$G$6</f>
        <v/>
      </c>
      <c r="G32" s="7">
        <f>5*Прайс!$D$36+7*Прайс!$D$315+3*Прайс!$D$37+$F32</f>
        <v/>
      </c>
      <c r="H32" s="7" t="n">
        <v>2590</v>
      </c>
      <c r="I32" s="7">
        <f>IF(ISNUMBER($G32),$H32-$G32,"—")</f>
        <v/>
      </c>
      <c r="J32" s="8">
        <f>IF(ISNUMBER($G32),($H32-$G32)/$H32,"—")</f>
        <v/>
      </c>
      <c r="K32" s="6" t="inlineStr">
        <is>
          <t>1 сентября</t>
        </is>
      </c>
      <c r="L32" s="9" t="inlineStr">
        <is>
          <t>нет</t>
        </is>
      </c>
      <c r="M32" s="6" t="inlineStr">
        <is>
          <t>новый — завести через /add</t>
        </is>
      </c>
      <c r="N32" s="6" t="inlineStr">
        <is>
          <t>новый · блок «1 сентября»</t>
        </is>
      </c>
    </row>
    <row r="33" ht="45" customHeight="1">
      <c r="A33" s="3" t="inlineStr">
        <is>
          <t>NEW-22</t>
        </is>
      </c>
      <c r="B33" s="10" t="inlineStr">
        <is>
          <t>Эустома Мусс</t>
        </is>
      </c>
      <c r="C33" s="11" t="inlineStr">
        <is>
          <t>Премиум</t>
        </is>
      </c>
      <c r="D33" s="6" t="inlineStr">
        <is>
          <t>эустома × 7</t>
        </is>
      </c>
      <c r="E33" s="6" t="inlineStr">
        <is>
          <t>Семь веток обычной эустомы — пастельное облако из множества некрупных бутонов. Раскрывается ещё три дня после доставки.</t>
        </is>
      </c>
      <c r="F33" s="7">
        <f>Прайс!$G$5</f>
        <v/>
      </c>
      <c r="G33" s="7">
        <f>7*Прайс!$D$162+$F33</f>
        <v/>
      </c>
      <c r="H33" s="7" t="n">
        <v>2690</v>
      </c>
      <c r="I33" s="7">
        <f>IF(ISNUMBER($G33),$H33-$G33,"—")</f>
        <v/>
      </c>
      <c r="J33" s="8">
        <f>IF(ISNUMBER($G33),($H33-$G33)/$H33,"—")</f>
        <v/>
      </c>
      <c r="K33" s="6" t="inlineStr">
        <is>
          <t>круглый год</t>
        </is>
      </c>
      <c r="L33" s="9" t="inlineStr">
        <is>
          <t>да</t>
        </is>
      </c>
      <c r="M33" s="6" t="inlineStr">
        <is>
          <t>новый — завести через /add</t>
        </is>
      </c>
      <c r="N33" s="6" t="inlineStr">
        <is>
          <t>новый · переименован из «Мусс», чтобы не путался с «Клубничный Мусс»; фото заведено под прежним названием</t>
        </is>
      </c>
    </row>
    <row r="34" ht="45" customHeight="1">
      <c r="A34" s="3" t="inlineStr">
        <is>
          <t>NEW-23</t>
        </is>
      </c>
      <c r="B34" s="10" t="inlineStr">
        <is>
          <t>Сентябрь</t>
        </is>
      </c>
      <c r="C34" s="11" t="inlineStr">
        <is>
          <t>Премиум</t>
        </is>
      </c>
      <c r="D34" s="6" t="inlineStr">
        <is>
          <t>гербера × 5, хризантема кустовая цветная × 5, гладиолус × 3, солидаго × 2</t>
        </is>
      </c>
      <c r="E34" s="6" t="inlineStr">
        <is>
          <t>Гербера, хризантема, гладиолус и солидаго: четыре вида в тёплой охристой гамме, самый «сентябрьский» из набора.</t>
        </is>
      </c>
      <c r="F34" s="7">
        <f>Прайс!$G$6</f>
        <v/>
      </c>
      <c r="G34" s="7">
        <f>5*Прайс!$D$36+5*Прайс!$D$122+3*Прайс!$D$40+2*Прайс!$D$115+$F34</f>
        <v/>
      </c>
      <c r="H34" s="7" t="n">
        <v>2790</v>
      </c>
      <c r="I34" s="7">
        <f>IF(ISNUMBER($G34),$H34-$G34,"—")</f>
        <v/>
      </c>
      <c r="J34" s="8">
        <f>IF(ISNUMBER($G34),($H34-$G34)/$H34,"—")</f>
        <v/>
      </c>
      <c r="K34" s="6" t="inlineStr">
        <is>
          <t>1 сентября</t>
        </is>
      </c>
      <c r="L34" s="9" t="inlineStr">
        <is>
          <t>нет</t>
        </is>
      </c>
      <c r="M34" s="6" t="inlineStr">
        <is>
          <t>новый — завести через /add</t>
        </is>
      </c>
      <c r="N34" s="6" t="inlineStr">
        <is>
          <t>новый · блок «1 сентября»</t>
        </is>
      </c>
    </row>
    <row r="35" ht="45" customHeight="1">
      <c r="A35" s="3" t="inlineStr">
        <is>
          <t>NEW-24</t>
        </is>
      </c>
      <c r="B35" s="10" t="inlineStr">
        <is>
          <t>Астра</t>
        </is>
      </c>
      <c r="C35" s="11" t="inlineStr">
        <is>
          <t>Премиум</t>
        </is>
      </c>
      <c r="D35" s="6" t="inlineStr">
        <is>
          <t>гвоздика микс × 25</t>
        </is>
      </c>
      <c r="E35" s="6" t="inlineStr">
        <is>
          <t>Двадцать пять гвоздик в миксе — плотный купол из ярких головок. Отлично держится в дороге и на жаре.</t>
        </is>
      </c>
      <c r="F35" s="7">
        <f>Прайс!$G$6</f>
        <v/>
      </c>
      <c r="G35" s="7">
        <f>25*Прайс!$D$33+$F35</f>
        <v/>
      </c>
      <c r="H35" s="7" t="n">
        <v>2890</v>
      </c>
      <c r="I35" s="7">
        <f>IF(ISNUMBER($G35),$H35-$G35,"—")</f>
        <v/>
      </c>
      <c r="J35" s="8">
        <f>IF(ISNUMBER($G35),($H35-$G35)/$H35,"—")</f>
        <v/>
      </c>
      <c r="K35" s="6" t="inlineStr">
        <is>
          <t>1 сентября, выпускной</t>
        </is>
      </c>
      <c r="L35" s="9" t="inlineStr">
        <is>
          <t>да</t>
        </is>
      </c>
      <c r="M35" s="6" t="inlineStr">
        <is>
          <t>новый — завести через /add</t>
        </is>
      </c>
      <c r="N35" s="6" t="inlineStr">
        <is>
          <t>новый · микс в прайсе не выделен — счёт по «гвоздика Эквадор» (00026)</t>
        </is>
      </c>
    </row>
    <row r="36" ht="45" customHeight="1">
      <c r="A36" s="3" t="inlineStr">
        <is>
          <t>NEW-25</t>
        </is>
      </c>
      <c r="B36" s="10" t="inlineStr">
        <is>
          <t>Специя</t>
        </is>
      </c>
      <c r="C36" s="11" t="inlineStr">
        <is>
          <t>Премиум</t>
        </is>
      </c>
      <c r="D36" s="6" t="inlineStr">
        <is>
          <t>роза Горкунов красная 50 см × 9, гиперикум × 5</t>
        </is>
      </c>
      <c r="E36" s="6" t="inlineStr">
        <is>
          <t>Девять красных роз Горкунова с гиперикумом: глубокий цвет и ягодные акценты вместо привычной зелени.</t>
        </is>
      </c>
      <c r="F36" s="7">
        <f>Прайс!$G$6</f>
        <v/>
      </c>
      <c r="G36" s="7">
        <f>9*Прайс!$D$74+5*Прайс!$D$37+$F36</f>
        <v/>
      </c>
      <c r="H36" s="7" t="n">
        <v>2990</v>
      </c>
      <c r="I36" s="7">
        <f>IF(ISNUMBER($G36),$H36-$G36,"—")</f>
        <v/>
      </c>
      <c r="J36" s="8">
        <f>IF(ISNUMBER($G36),($H36-$G36)/$H36,"—")</f>
        <v/>
      </c>
      <c r="K36" s="6" t="inlineStr">
        <is>
          <t>свидание</t>
        </is>
      </c>
      <c r="L36" s="9" t="inlineStr">
        <is>
          <t>да</t>
        </is>
      </c>
      <c r="M36" s="6" t="inlineStr">
        <is>
          <t>новый — завести через /add</t>
        </is>
      </c>
      <c r="N36" s="6" t="inlineStr">
        <is>
          <t>новый · цвет в прайсе не выделен — счёт по «Роза ГОРКУНОВ 50 см одног» (01065)</t>
        </is>
      </c>
    </row>
    <row r="37" ht="45" customHeight="1">
      <c r="A37" s="3" t="inlineStr">
        <is>
          <t>NEW-26</t>
        </is>
      </c>
      <c r="B37" s="10" t="inlineStr">
        <is>
          <t>Тоффи</t>
        </is>
      </c>
      <c r="C37" s="11" t="inlineStr">
        <is>
          <t>Премиум</t>
        </is>
      </c>
      <c r="D37" s="6" t="inlineStr">
        <is>
          <t>альстромерия Эквадор 60 см × 15</t>
        </is>
      </c>
      <c r="E37" s="6" t="inlineStr">
        <is>
          <t>Пятнадцать эквадорских альстромерий карамельных оттенков. Один из самых стойких букетов в каталоге.</t>
        </is>
      </c>
      <c r="F37" s="7">
        <f>Прайс!$G$6</f>
        <v/>
      </c>
      <c r="G37" s="7">
        <f>15*Прайс!$D$315+$F37</f>
        <v/>
      </c>
      <c r="H37" s="7" t="n">
        <v>3290</v>
      </c>
      <c r="I37" s="7">
        <f>IF(ISNUMBER($G37),$H37-$G37,"—")</f>
        <v/>
      </c>
      <c r="J37" s="8">
        <f>IF(ISNUMBER($G37),($H37-$G37)/$H37,"—")</f>
        <v/>
      </c>
      <c r="K37" s="6" t="inlineStr">
        <is>
          <t>круглый год</t>
        </is>
      </c>
      <c r="L37" s="9" t="inlineStr">
        <is>
          <t>да</t>
        </is>
      </c>
      <c r="M37" s="6" t="inlineStr">
        <is>
          <t>новый — завести через /add</t>
        </is>
      </c>
      <c r="N37" s="6" t="inlineStr">
        <is>
          <t>новый</t>
        </is>
      </c>
    </row>
    <row r="38" ht="45" customHeight="1">
      <c r="A38" s="3" t="inlineStr">
        <is>
          <t>NEW-27</t>
        </is>
      </c>
      <c r="B38" s="10" t="inlineStr">
        <is>
          <t>Инжир</t>
        </is>
      </c>
      <c r="C38" s="11" t="inlineStr">
        <is>
          <t>Премиум</t>
        </is>
      </c>
      <c r="D38" s="6" t="inlineStr">
        <is>
          <t>гербера микс × 15, гиперикум × 5</t>
        </is>
      </c>
      <c r="E38" s="6" t="inlineStr">
        <is>
          <t>Пятнадцать гербер в миксе тёплых тонов, подсвеченных гиперикумом. Крупный и щедрый, без пафоса.</t>
        </is>
      </c>
      <c r="F38" s="7">
        <f>Прайс!$G$6</f>
        <v/>
      </c>
      <c r="G38" s="7">
        <f>15*Прайс!$D$36+5*Прайс!$D$37+$F38</f>
        <v/>
      </c>
      <c r="H38" s="7" t="n">
        <v>3490</v>
      </c>
      <c r="I38" s="7">
        <f>IF(ISNUMBER($G38),$H38-$G38,"—")</f>
        <v/>
      </c>
      <c r="J38" s="8">
        <f>IF(ISNUMBER($G38),($H38-$G38)/$H38,"—")</f>
        <v/>
      </c>
      <c r="K38" s="6" t="inlineStr">
        <is>
          <t>осень, 1 сентября</t>
        </is>
      </c>
      <c r="L38" s="9" t="inlineStr">
        <is>
          <t>да</t>
        </is>
      </c>
      <c r="M38" s="6" t="inlineStr">
        <is>
          <t>новый — завести через /add</t>
        </is>
      </c>
      <c r="N38" s="6" t="inlineStr">
        <is>
          <t>новый · микс в прайсе не выделен — счёт по «гербера армения» (00448)</t>
        </is>
      </c>
    </row>
    <row r="39" ht="45" customHeight="1">
      <c r="A39" s="3" t="inlineStr">
        <is>
          <t>NEW-28</t>
        </is>
      </c>
      <c r="B39" s="10" t="inlineStr">
        <is>
          <t>Кобальт</t>
        </is>
      </c>
      <c r="C39" s="11" t="inlineStr">
        <is>
          <t>Премиум</t>
        </is>
      </c>
      <c r="D39" s="6" t="inlineStr">
        <is>
          <t>роза Эквадор синяя 40 см × 11</t>
        </is>
      </c>
      <c r="E39" s="6" t="inlineStr">
        <is>
          <t>Одиннадцать синих эквадорских роз — редкий цвет, который запоминают. Подарок с характером.</t>
        </is>
      </c>
      <c r="F39" s="7">
        <f>Прайс!$G$5</f>
        <v/>
      </c>
      <c r="G39" s="7">
        <f>11*Прайс!$D$83+$F39</f>
        <v/>
      </c>
      <c r="H39" s="7" t="n">
        <v>3490</v>
      </c>
      <c r="I39" s="7">
        <f>IF(ISNUMBER($G39),$H39-$G39,"—")</f>
        <v/>
      </c>
      <c r="J39" s="8">
        <f>IF(ISNUMBER($G39),($H39-$G39)/$H39,"—")</f>
        <v/>
      </c>
      <c r="K39" s="6" t="inlineStr">
        <is>
          <t>день рождения</t>
        </is>
      </c>
      <c r="L39" s="9" t="inlineStr">
        <is>
          <t>да</t>
        </is>
      </c>
      <c r="M39" s="6" t="inlineStr">
        <is>
          <t>новый — завести через /add</t>
        </is>
      </c>
      <c r="N39" s="6" t="inlineStr">
        <is>
          <t>новый</t>
        </is>
      </c>
    </row>
    <row r="40" ht="45" customHeight="1">
      <c r="A40" s="3" t="inlineStr">
        <is>
          <t>NEW-29</t>
        </is>
      </c>
      <c r="B40" s="10" t="inlineStr">
        <is>
          <t>Снежный Мел</t>
        </is>
      </c>
      <c r="C40" s="11" t="inlineStr">
        <is>
          <t>Премиум</t>
        </is>
      </c>
      <c r="D40" s="6" t="inlineStr">
        <is>
          <t>роза Горкунов белая 50 см × 25</t>
        </is>
      </c>
      <c r="E40" s="6" t="inlineStr">
        <is>
          <t>Двадцать пять белых роз на пятидесятой ноге. Строгая монобукетная классика для важных дат.</t>
        </is>
      </c>
      <c r="F40" s="7">
        <f>Прайс!$G$6</f>
        <v/>
      </c>
      <c r="G40" s="7">
        <f>25*Прайс!$D$74+$F40</f>
        <v/>
      </c>
      <c r="H40" s="7" t="n">
        <v>3990</v>
      </c>
      <c r="I40" s="7">
        <f>IF(ISNUMBER($G40),$H40-$G40,"—")</f>
        <v/>
      </c>
      <c r="J40" s="8">
        <f>IF(ISNUMBER($G40),($H40-$G40)/$H40,"—")</f>
        <v/>
      </c>
      <c r="K40" s="6" t="inlineStr">
        <is>
          <t>свадьба, годовщина</t>
        </is>
      </c>
      <c r="L40" s="9" t="inlineStr">
        <is>
          <t>да</t>
        </is>
      </c>
      <c r="M40" s="6" t="inlineStr">
        <is>
          <t>новый — завести через /add</t>
        </is>
      </c>
      <c r="N40" s="6" t="inlineStr">
        <is>
          <t>новый · цвет в прайсе не выделен — счёт по «Роза ГОРКУНОВ 50 см одног» (01065)</t>
        </is>
      </c>
    </row>
    <row r="41" ht="60" customHeight="1">
      <c r="A41" s="3" t="inlineStr">
        <is>
          <t>NEW-30</t>
        </is>
      </c>
      <c r="B41" s="10" t="inlineStr">
        <is>
          <t>Сидр</t>
        </is>
      </c>
      <c r="C41" s="11" t="inlineStr">
        <is>
          <t>Премиум</t>
        </is>
      </c>
      <c r="D41" s="6" t="inlineStr">
        <is>
          <t>георгин × 9, астильба × 3</t>
        </is>
      </c>
      <c r="E41" s="6" t="inlineStr">
        <is>
          <t>Девять георгинов с воздушной астильбой — сентябрьский букет цвета сидра. Тёплый, но не приторный.</t>
        </is>
      </c>
      <c r="F41" s="7">
        <f>Прайс!$G$6</f>
        <v/>
      </c>
      <c r="G41" s="7">
        <f>9*Прайс!$D$35+3*Прайс!$D$27+$F41</f>
        <v/>
      </c>
      <c r="H41" s="7" t="n">
        <v>4190</v>
      </c>
      <c r="I41" s="7">
        <f>IF(ISNUMBER($G41),$H41-$G41,"—")</f>
        <v/>
      </c>
      <c r="J41" s="8">
        <f>IF(ISNUMBER($G41),($H41-$G41)/$H41,"—")</f>
        <v/>
      </c>
      <c r="K41" s="6" t="inlineStr">
        <is>
          <t>осень, 1 сентября</t>
        </is>
      </c>
      <c r="L41" s="9" t="inlineStr">
        <is>
          <t>да</t>
        </is>
      </c>
      <c r="M41" s="6" t="inlineStr">
        <is>
          <t>новый — завести через /add</t>
        </is>
      </c>
      <c r="N41" s="6" t="inlineStr">
        <is>
          <t>новый · цена поднята с 3290 ₽: с упаковкой (140 ₽) маржа была 46,5% (&lt;50%), новая маржа 58,0% · в прайсе также «Георгин Китай» 99,90 ₽ (01296) — счёт по основной позиции «Георгина» (01018)</t>
        </is>
      </c>
    </row>
    <row r="42" ht="60" customHeight="1">
      <c r="A42" s="3" t="inlineStr">
        <is>
          <t>NEW-31</t>
        </is>
      </c>
      <c r="B42" s="10" t="inlineStr">
        <is>
          <t>Янтарь</t>
        </is>
      </c>
      <c r="C42" s="11" t="inlineStr">
        <is>
          <t>Премиум</t>
        </is>
      </c>
      <c r="D42" s="6" t="inlineStr">
        <is>
          <t>подсолнух × 7, георгин × 5</t>
        </is>
      </c>
      <c r="E42" s="6" t="inlineStr">
        <is>
          <t>Семь подсолнухов и пять георгинов: крупный, солнечный, немного дерзкий. Для тех, кому мало «нежного».</t>
        </is>
      </c>
      <c r="F42" s="7">
        <f>Прайс!$G$6</f>
        <v/>
      </c>
      <c r="G42" s="7">
        <f>7*Прайс!$D$68+5*Прайс!$D$35+$F42</f>
        <v/>
      </c>
      <c r="H42" s="7" t="n">
        <v>4790</v>
      </c>
      <c r="I42" s="7">
        <f>IF(ISNUMBER($G42),$H42-$G42,"—")</f>
        <v/>
      </c>
      <c r="J42" s="8">
        <f>IF(ISNUMBER($G42),($H42-$G42)/$H42,"—")</f>
        <v/>
      </c>
      <c r="K42" s="6" t="inlineStr">
        <is>
          <t>осень</t>
        </is>
      </c>
      <c r="L42" s="9" t="inlineStr">
        <is>
          <t>нет</t>
        </is>
      </c>
      <c r="M42" s="6" t="inlineStr">
        <is>
          <t>новый — завести через /add</t>
        </is>
      </c>
      <c r="N42" s="6" t="inlineStr">
        <is>
          <t>новый · цена поднята с 3890 ₽: с упаковкой (140 ₽) маржа была 48,3% (&lt;50%), новая маржа 58,1% · в прайсе также «Георгин Китай» 99,90 ₽ (01296) — счёт по основной позиции «Георгина» (01018)</t>
        </is>
      </c>
    </row>
    <row r="43" ht="105" customHeight="1">
      <c r="A43" s="3" t="inlineStr">
        <is>
          <t>NEW-32</t>
        </is>
      </c>
      <c r="B43" s="10" t="inlineStr">
        <is>
          <t>Сливочный Крем</t>
        </is>
      </c>
      <c r="C43" s="11" t="inlineStr">
        <is>
          <t>Премиум</t>
        </is>
      </c>
      <c r="D43" s="6" t="inlineStr">
        <is>
          <t>роза Горкунов персиковая 50 см × 5, роза кустовая × 3, эвкалипт × 3</t>
        </is>
      </c>
      <c r="E43" s="6" t="inlineStr">
        <is>
          <t>Персиковые розы Горкунова, кустовая роза и эвкалипт — мягкая пастель с зелёной подложкой. Свадебное настроение.</t>
        </is>
      </c>
      <c r="F43" s="7">
        <f>Прайс!$G$5</f>
        <v/>
      </c>
      <c r="G43" s="7">
        <f>5*Прайс!$D$74+3*Прайс!$D$73+3*Прайс!$D$140+$F43</f>
        <v/>
      </c>
      <c r="H43" s="7" t="n">
        <v>4890</v>
      </c>
      <c r="I43" s="7">
        <f>IF(ISNUMBER($G43),$H43-$G43,"—")</f>
        <v/>
      </c>
      <c r="J43" s="8">
        <f>IF(ISNUMBER($G43),($H43-$G43)/$H43,"—")</f>
        <v/>
      </c>
      <c r="K43" s="6" t="inlineStr">
        <is>
          <t>свадьба</t>
        </is>
      </c>
      <c r="L43" s="9" t="inlineStr">
        <is>
          <t>да</t>
        </is>
      </c>
      <c r="M43" s="6" t="inlineStr">
        <is>
          <t>новый — завести через /add</t>
        </is>
      </c>
      <c r="N43" s="6" t="inlineStr">
        <is>
          <t>новый · цена поднята с 3290 ₽: с упаковкой (90 ₽) маржа была 37,6% (&lt;50%), новая маржа 58,0% · цвет в прайсе не выделен — счёт по «Роза ГОРКУНОВ 50 см одног» (01065) · в списке без уточнения — счёт по «Роза ГОРКУНОВ 50 см КУСТ» (01067) · в прайсе «эвкалипт» 390 ₽ (00350) без указания фасовки (шт/пучок) — счёт как за штуку</t>
        </is>
      </c>
    </row>
    <row r="44" ht="60" customHeight="1">
      <c r="A44" s="3" t="inlineStr">
        <is>
          <t>NEW-33</t>
        </is>
      </c>
      <c r="B44" s="10" t="inlineStr">
        <is>
          <t>Жемчуг</t>
        </is>
      </c>
      <c r="C44" s="11" t="inlineStr">
        <is>
          <t>Премиум</t>
        </is>
      </c>
      <c r="D44" s="6" t="inlineStr">
        <is>
          <t>лилия пионовидная × 5</t>
        </is>
      </c>
      <c r="E44" s="6" t="inlineStr">
        <is>
          <t>Пять пионовидных лилий, которые раскроются постепенно и наполнят комнату запахом. Букет с выдержкой.</t>
        </is>
      </c>
      <c r="F44" s="7">
        <f>Прайс!$G$5</f>
        <v/>
      </c>
      <c r="G44" s="7">
        <f>5*Прайс!$D$56+$F44</f>
        <v/>
      </c>
      <c r="H44" s="7" t="n">
        <v>4990</v>
      </c>
      <c r="I44" s="7">
        <f>IF(ISNUMBER($G44),$H44-$G44,"—")</f>
        <v/>
      </c>
      <c r="J44" s="8">
        <f>IF(ISNUMBER($G44),($H44-$G44)/$H44,"—")</f>
        <v/>
      </c>
      <c r="K44" s="6" t="inlineStr">
        <is>
          <t>юбилей</t>
        </is>
      </c>
      <c r="L44" s="9" t="inlineStr">
        <is>
          <t>да</t>
        </is>
      </c>
      <c r="M44" s="6" t="inlineStr">
        <is>
          <t>новый — завести через /add</t>
        </is>
      </c>
      <c r="N44" s="6" t="inlineStr">
        <is>
          <t>новый · цена поднята с 3490 ₽: с упаковкой (90 ₽) маржа была 40,1% (&lt;50%), новая маржа 58,1% · в прайсе также «ЛИЛИЯ пионовидная КИТАЙ» 299 ₽ (01209) — счёт по основной позиции (00968)</t>
        </is>
      </c>
    </row>
    <row r="45" ht="90" customHeight="1">
      <c r="A45" s="3" t="inlineStr">
        <is>
          <t>NEW-34</t>
        </is>
      </c>
      <c r="B45" s="10" t="inlineStr">
        <is>
          <t>Малахит</t>
        </is>
      </c>
      <c r="C45" s="11" t="inlineStr">
        <is>
          <t>Премиум</t>
        </is>
      </c>
      <c r="D45" s="6" t="inlineStr">
        <is>
          <t>эустома × 7, хризантема одноголовая × 5, эвкалипт × 1</t>
        </is>
      </c>
      <c r="E45" s="6" t="inlineStr">
        <is>
          <t>Эустома, хризантема и ветка эвкалипта — зелёно-белая история для интерьера, а не для селфи.</t>
        </is>
      </c>
      <c r="F45" s="7">
        <f>Прайс!$G$6</f>
        <v/>
      </c>
      <c r="G45" s="7">
        <f>7*Прайс!$D$162+5*Прайс!$D$123+1*Прайс!$D$140+$F45</f>
        <v/>
      </c>
      <c r="H45" s="7" t="n">
        <v>5290</v>
      </c>
      <c r="I45" s="7">
        <f>IF(ISNUMBER($G45),$H45-$G45,"—")</f>
        <v/>
      </c>
      <c r="J45" s="8">
        <f>IF(ISNUMBER($G45),($H45-$G45)/$H45,"—")</f>
        <v/>
      </c>
      <c r="K45" s="6" t="inlineStr">
        <is>
          <t>новоселье</t>
        </is>
      </c>
      <c r="L45" s="9" t="inlineStr">
        <is>
          <t>да</t>
        </is>
      </c>
      <c r="M45" s="6" t="inlineStr">
        <is>
          <t>новый — завести через /add</t>
        </is>
      </c>
      <c r="N45" s="6" t="inlineStr">
        <is>
          <t>новый · цена поднята с 3990 ₽: с упаковкой (140 ₽) маржа была 44,4% (&lt;50%), новая маржа 58,1% · в списке указано просто «хризантема» — принята одноголовая (00046) · в прайсе «эвкалипт» 390 ₽ (00350) без указания фасовки (шт/пучок) — счёт как за штуку</t>
        </is>
      </c>
    </row>
    <row r="46" ht="45" customHeight="1">
      <c r="A46" s="3" t="inlineStr">
        <is>
          <t>PRD-10</t>
        </is>
      </c>
      <c r="B46" s="12" t="inlineStr">
        <is>
          <t>Гортензия Jumbo</t>
        </is>
      </c>
      <c r="C46" s="13" t="inlineStr">
        <is>
          <t>Люкс</t>
        </is>
      </c>
      <c r="D46" s="6" t="inlineStr">
        <is>
          <t>гортензия JUMBO Колумбия × 5</t>
        </is>
      </c>
      <c r="E46" s="6" t="inlineStr">
        <is>
          <t>Пять колумбийских гортензий Jumbo — каждая размером с детскую голову. Занимает половину стола.</t>
        </is>
      </c>
      <c r="F46" s="7">
        <f>Прайс!$G$5</f>
        <v/>
      </c>
      <c r="G46" s="7">
        <f>5*Прайс!$D$318+$F46</f>
        <v/>
      </c>
      <c r="H46" s="7" t="n">
        <v>5490</v>
      </c>
      <c r="I46" s="7">
        <f>IF(ISNUMBER($G46),$H46-$G46,"—")</f>
        <v/>
      </c>
      <c r="J46" s="8">
        <f>IF(ISNUMBER($G46),($H46-$G46)/$H46,"—")</f>
        <v/>
      </c>
      <c r="K46" s="6" t="inlineStr">
        <is>
          <t>свадьба</t>
        </is>
      </c>
      <c r="L46" s="9" t="inlineStr">
        <is>
          <t>да</t>
        </is>
      </c>
      <c r="M46" s="6" t="inlineStr">
        <is>
          <t>в каталоге бота</t>
        </is>
      </c>
      <c r="N46" s="6" t="inlineStr">
        <is>
          <t>сейчас в боте · категория проставлена по ценовой сетке каталога — подтвердить</t>
        </is>
      </c>
    </row>
    <row r="47" ht="60" customHeight="1">
      <c r="A47" s="3" t="inlineStr">
        <is>
          <t>PRD-11</t>
        </is>
      </c>
      <c r="B47" s="12" t="inlineStr">
        <is>
          <t>Облако августа</t>
        </is>
      </c>
      <c r="C47" s="13" t="inlineStr">
        <is>
          <t>Люкс</t>
        </is>
      </c>
      <c r="D47" s="6" t="inlineStr">
        <is>
          <t>гортензия JUMBO Колумбия × 3, эустома PREMIUM × 7, эвкалипт × 1</t>
        </is>
      </c>
      <c r="E47" s="6" t="inlineStr">
        <is>
          <t>Три гортензии Jumbo с эустомой и эвкалиптом. Крупная форма и мелкая деталь рядом — букет для интерьерной съёмки.</t>
        </is>
      </c>
      <c r="F47" s="7">
        <f>Прайс!$G$5</f>
        <v/>
      </c>
      <c r="G47" s="7">
        <f>3*Прайс!$D$318+7*Прайс!$D$159+1*Прайс!$D$140+$F47</f>
        <v/>
      </c>
      <c r="H47" s="7" t="n">
        <v>5490</v>
      </c>
      <c r="I47" s="7">
        <f>IF(ISNUMBER($G47),$H47-$G47,"—")</f>
        <v/>
      </c>
      <c r="J47" s="8">
        <f>IF(ISNUMBER($G47),($H47-$G47)/$H47,"—")</f>
        <v/>
      </c>
      <c r="K47" s="6" t="inlineStr">
        <is>
          <t>новоселье, август</t>
        </is>
      </c>
      <c r="L47" s="9" t="inlineStr">
        <is>
          <t>да</t>
        </is>
      </c>
      <c r="M47" s="6" t="inlineStr">
        <is>
          <t>в каталоге бота</t>
        </is>
      </c>
      <c r="N47" s="6" t="inlineStr">
        <is>
          <t>сейчас в боте · категория проставлена по ценовой сетке каталога — подтвердить · в прайсе «эвкалипт» 390 ₽ (00350) без указания фасовки (шт/пучок) — счёт как за штуку</t>
        </is>
      </c>
    </row>
    <row r="48" ht="45" customHeight="1">
      <c r="A48" s="3" t="inlineStr">
        <is>
          <t>PRD-12</t>
        </is>
      </c>
      <c r="B48" s="12" t="inlineStr">
        <is>
          <t>Французский сад</t>
        </is>
      </c>
      <c r="C48" s="13" t="inlineStr">
        <is>
          <t>Люкс</t>
        </is>
      </c>
      <c r="D48" s="6" t="inlineStr">
        <is>
          <t>роза Горкунов кустовая пионовидная 70 см × 11</t>
        </is>
      </c>
      <c r="E48" s="6" t="inlineStr">
        <is>
          <t>Одиннадцать пионовидных кустовых роз Горкунова на семидесятой ноге. В руках разваливается в настоящий садовый ворох.</t>
        </is>
      </c>
      <c r="F48" s="7">
        <f>Прайс!$G$5</f>
        <v/>
      </c>
      <c r="G48" s="7">
        <f>11*Прайс!$D$238+$F48</f>
        <v/>
      </c>
      <c r="H48" s="7" t="n">
        <v>5990</v>
      </c>
      <c r="I48" s="7">
        <f>IF(ISNUMBER($G48),$H48-$G48,"—")</f>
        <v/>
      </c>
      <c r="J48" s="8">
        <f>IF(ISNUMBER($G48),($H48-$G48)/$H48,"—")</f>
        <v/>
      </c>
      <c r="K48" s="6" t="inlineStr">
        <is>
          <t>свадьба</t>
        </is>
      </c>
      <c r="L48" s="9" t="inlineStr">
        <is>
          <t>да</t>
        </is>
      </c>
      <c r="M48" s="6" t="inlineStr">
        <is>
          <t>в каталоге бота</t>
        </is>
      </c>
      <c r="N48" s="6" t="inlineStr">
        <is>
          <t>сейчас в боте · категория проставлена по ценовой сетке каталога — подтвердить</t>
        </is>
      </c>
    </row>
    <row r="49" ht="60" customHeight="1">
      <c r="A49" s="3" t="inlineStr">
        <is>
          <t>PRD-13</t>
        </is>
      </c>
      <c r="B49" s="12" t="inlineStr">
        <is>
          <t>Silva Pink XL</t>
        </is>
      </c>
      <c r="C49" s="13" t="inlineStr">
        <is>
          <t>Люкс</t>
        </is>
      </c>
      <c r="D49" s="6" t="inlineStr">
        <is>
          <t>роза Горкунов КУСТ Silva Pink 60 см × 15</t>
        </is>
      </c>
      <c r="E49" s="6" t="inlineStr">
        <is>
          <t>Пятнадцать кустовых роз Silva Pink — по пять-шесть бутонов на ветке, в итоге под сотню розовых голов. Самый объёмный букет каталога.</t>
        </is>
      </c>
      <c r="F49" s="7">
        <f>Прайс!$G$6</f>
        <v/>
      </c>
      <c r="G49" s="7">
        <f>15*Прайс!$D$308+$F49</f>
        <v/>
      </c>
      <c r="H49" s="7" t="n">
        <v>7990</v>
      </c>
      <c r="I49" s="7">
        <f>IF(ISNUMBER($G49),$H49-$G49,"—")</f>
        <v/>
      </c>
      <c r="J49" s="8">
        <f>IF(ISNUMBER($G49),($H49-$G49)/$H49,"—")</f>
        <v/>
      </c>
      <c r="K49" s="6" t="inlineStr">
        <is>
          <t>юбилей</t>
        </is>
      </c>
      <c r="L49" s="9" t="inlineStr">
        <is>
          <t>да</t>
        </is>
      </c>
      <c r="M49" s="6" t="inlineStr">
        <is>
          <t>в каталоге бота</t>
        </is>
      </c>
      <c r="N49" s="6" t="inlineStr">
        <is>
          <t>сейчас в боте · категория проставлена по ценовой сетке каталога — подтвердить</t>
        </is>
      </c>
    </row>
    <row r="50" ht="105" customHeight="1">
      <c r="A50" s="3" t="inlineStr">
        <is>
          <t>PRD-14</t>
        </is>
      </c>
      <c r="B50" s="12" t="inlineStr">
        <is>
          <t>Белое облако</t>
        </is>
      </c>
      <c r="C50" s="13" t="inlineStr">
        <is>
          <t>Люкс</t>
        </is>
      </c>
      <c r="D50" s="6" t="inlineStr">
        <is>
          <t>гипсофила белая, банч × 2</t>
        </is>
      </c>
      <c r="E50" s="6" t="inlineStr">
        <is>
          <t>Два банча белой гипсофилы, собранные в одну сплошную пену. Лёгкий и огромный одновременно.</t>
        </is>
      </c>
      <c r="F50" s="7">
        <f>Прайс!$G$5</f>
        <v/>
      </c>
      <c r="G50" s="7">
        <f>2*Прайс!$D$38+$F50</f>
        <v/>
      </c>
      <c r="H50" s="7" t="n">
        <v>9590</v>
      </c>
      <c r="I50" s="7">
        <f>IF(ISNUMBER($G50),$H50-$G50,"—")</f>
        <v/>
      </c>
      <c r="J50" s="8">
        <f>IF(ISNUMBER($G50),($H50-$G50)/$H50,"—")</f>
        <v/>
      </c>
      <c r="K50" s="6" t="inlineStr">
        <is>
          <t>свадьба</t>
        </is>
      </c>
      <c r="L50" s="9" t="inlineStr">
        <is>
          <t>да</t>
        </is>
      </c>
      <c r="M50" s="6" t="inlineStr">
        <is>
          <t>в каталоге бота</t>
        </is>
      </c>
      <c r="N50" s="6" t="inlineStr">
        <is>
          <t>сейчас в боте · категория проставлена по ценовой сетке каталога — подтвердить · цена живая, в боте стоит 5990 ₽ — обновить через /edit · цена поднята с 5990 ₽: с упаковкой (90 ₽) маржа была 32,1% (&lt;50%), новая маржа 57,6% · в прайсе три банча гипсофилы: белая 1 990 ₽ (00028), крашеная 2 190 ₽ (00365), Китай 1 390 ₽ (01215) — счёт по белой</t>
        </is>
      </c>
    </row>
    <row r="51" ht="45" customHeight="1">
      <c r="A51" s="3" t="inlineStr">
        <is>
          <t>NEW-35</t>
        </is>
      </c>
      <c r="B51" s="12" t="inlineStr">
        <is>
          <t>Сироп</t>
        </is>
      </c>
      <c r="C51" s="13" t="inlineStr">
        <is>
          <t>Люкс</t>
        </is>
      </c>
      <c r="D51" s="6" t="inlineStr">
        <is>
          <t>гвоздика пудровая × 51</t>
        </is>
      </c>
      <c r="E51" s="6" t="inlineStr">
        <is>
          <t>Пятьдесят одна пудровая гвоздика в плотном куполе. Много цветов за разумные деньги, стоит до двух недель.</t>
        </is>
      </c>
      <c r="F51" s="7">
        <f>Прайс!$G$7</f>
        <v/>
      </c>
      <c r="G51" s="7">
        <f>51*Прайс!$D$33+$F51</f>
        <v/>
      </c>
      <c r="H51" s="7" t="n">
        <v>6490</v>
      </c>
      <c r="I51" s="7">
        <f>IF(ISNUMBER($G51),$H51-$G51,"—")</f>
        <v/>
      </c>
      <c r="J51" s="8">
        <f>IF(ISNUMBER($G51),($H51-$G51)/$H51,"—")</f>
        <v/>
      </c>
      <c r="K51" s="6" t="inlineStr">
        <is>
          <t>круглый год</t>
        </is>
      </c>
      <c r="L51" s="9" t="inlineStr">
        <is>
          <t>нет</t>
        </is>
      </c>
      <c r="M51" s="6" t="inlineStr">
        <is>
          <t>новый — завести через /add</t>
        </is>
      </c>
      <c r="N51" s="6" t="inlineStr">
        <is>
          <t>новый · оттенок «пудровая» в прайсе не выделен — счёт по «гвоздика Эквадор» (00026)</t>
        </is>
      </c>
    </row>
    <row r="52" ht="45" customHeight="1">
      <c r="A52" s="3" t="inlineStr">
        <is>
          <t>NEW-36</t>
        </is>
      </c>
      <c r="B52" s="12" t="inlineStr">
        <is>
          <t>Клён</t>
        </is>
      </c>
      <c r="C52" s="13" t="inlineStr">
        <is>
          <t>Люкс</t>
        </is>
      </c>
      <c r="D52" s="6" t="inlineStr">
        <is>
          <t>подсолнух × 19</t>
        </is>
      </c>
      <c r="E52" s="6" t="inlineStr">
        <is>
          <t>Девятнадцать подсолнухов охапкой. Букет, который не вручают тихо — его видно ещё с парковки.</t>
        </is>
      </c>
      <c r="F52" s="7">
        <f>Прайс!$G$6</f>
        <v/>
      </c>
      <c r="G52" s="7">
        <f>19*Прайс!$D$68+$F52</f>
        <v/>
      </c>
      <c r="H52" s="7" t="n">
        <v>6990</v>
      </c>
      <c r="I52" s="7">
        <f>IF(ISNUMBER($G52),$H52-$G52,"—")</f>
        <v/>
      </c>
      <c r="J52" s="8">
        <f>IF(ISNUMBER($G52),($H52-$G52)/$H52,"—")</f>
        <v/>
      </c>
      <c r="K52" s="6" t="inlineStr">
        <is>
          <t>осень, 1 сентября</t>
        </is>
      </c>
      <c r="L52" s="9" t="inlineStr">
        <is>
          <t>да</t>
        </is>
      </c>
      <c r="M52" s="6" t="inlineStr">
        <is>
          <t>новый — завести через /add</t>
        </is>
      </c>
      <c r="N52" s="6" t="inlineStr">
        <is>
          <t>новый</t>
        </is>
      </c>
    </row>
    <row r="53" ht="45" customHeight="1">
      <c r="A53" s="3" t="inlineStr">
        <is>
          <t>NEW-37</t>
        </is>
      </c>
      <c r="B53" s="12" t="inlineStr">
        <is>
          <t>Нежность Кустовая</t>
        </is>
      </c>
      <c r="C53" s="13" t="inlineStr">
        <is>
          <t>Люкс</t>
        </is>
      </c>
      <c r="D53" s="6" t="inlineStr">
        <is>
          <t>роза кустовая пионовидная × 19</t>
        </is>
      </c>
      <c r="E53" s="6" t="inlineStr">
        <is>
          <t>Девятнадцать кустовых пионовидных роз: вместо девятнадцати бутонов получается почти шестьдесят.</t>
        </is>
      </c>
      <c r="F53" s="7">
        <f>Прайс!$G$6</f>
        <v/>
      </c>
      <c r="G53" s="7">
        <f>19*Прайс!$D$80+$F53</f>
        <v/>
      </c>
      <c r="H53" s="7" t="n">
        <v>6990</v>
      </c>
      <c r="I53" s="7">
        <f>IF(ISNUMBER($G53),$H53-$G53,"—")</f>
        <v/>
      </c>
      <c r="J53" s="8">
        <f>IF(ISNUMBER($G53),($H53-$G53)/$H53,"—")</f>
        <v/>
      </c>
      <c r="K53" s="6" t="inlineStr">
        <is>
          <t>свадьба</t>
        </is>
      </c>
      <c r="L53" s="9" t="inlineStr">
        <is>
          <t>да</t>
        </is>
      </c>
      <c r="M53" s="6" t="inlineStr">
        <is>
          <t>новый — завести через /add</t>
        </is>
      </c>
      <c r="N53" s="6" t="inlineStr">
        <is>
          <t>новый</t>
        </is>
      </c>
    </row>
    <row r="54" ht="45" customHeight="1">
      <c r="A54" s="3" t="inlineStr">
        <is>
          <t>NEW-38</t>
        </is>
      </c>
      <c r="B54" s="12" t="inlineStr">
        <is>
          <t>Кашемир</t>
        </is>
      </c>
      <c r="C54" s="13" t="inlineStr">
        <is>
          <t>Люкс</t>
        </is>
      </c>
      <c r="D54" s="6" t="inlineStr">
        <is>
          <t>эустома × 21</t>
        </is>
      </c>
      <c r="E54" s="6" t="inlineStr">
        <is>
          <t>Двадцать одна ветка эустомы — облако из десятков мелких бутонов, лёгкое и дорогое на вид.</t>
        </is>
      </c>
      <c r="F54" s="7">
        <f>Прайс!$G$6</f>
        <v/>
      </c>
      <c r="G54" s="7">
        <f>21*Прайс!$D$162+$F54</f>
        <v/>
      </c>
      <c r="H54" s="7" t="n">
        <v>7490</v>
      </c>
      <c r="I54" s="7">
        <f>IF(ISNUMBER($G54),$H54-$G54,"—")</f>
        <v/>
      </c>
      <c r="J54" s="8">
        <f>IF(ISNUMBER($G54),($H54-$G54)/$H54,"—")</f>
        <v/>
      </c>
      <c r="K54" s="6" t="inlineStr">
        <is>
          <t>юбилей</t>
        </is>
      </c>
      <c r="L54" s="9" t="inlineStr">
        <is>
          <t>нет</t>
        </is>
      </c>
      <c r="M54" s="6" t="inlineStr">
        <is>
          <t>новый — завести через /add</t>
        </is>
      </c>
      <c r="N54" s="6" t="inlineStr">
        <is>
          <t>новый</t>
        </is>
      </c>
    </row>
    <row r="55" ht="60" customHeight="1">
      <c r="A55" s="3" t="inlineStr">
        <is>
          <t>NEW-39</t>
        </is>
      </c>
      <c r="B55" s="12" t="inlineStr">
        <is>
          <t>Рябина</t>
        </is>
      </c>
      <c r="C55" s="13" t="inlineStr">
        <is>
          <t>Люкс</t>
        </is>
      </c>
      <c r="D55" s="6" t="inlineStr">
        <is>
          <t>георгин × 15, гиперикум × 10</t>
        </is>
      </c>
      <c r="E55" s="6" t="inlineStr">
        <is>
          <t>Пятнадцать георгинов и десять гроздей гиперикума — плотный осенний букет цвета рябины и мёда.</t>
        </is>
      </c>
      <c r="F55" s="7">
        <f>Прайс!$G$6</f>
        <v/>
      </c>
      <c r="G55" s="7">
        <f>15*Прайс!$D$35+10*Прайс!$D$37+$F55</f>
        <v/>
      </c>
      <c r="H55" s="7" t="n">
        <v>7790</v>
      </c>
      <c r="I55" s="7">
        <f>IF(ISNUMBER($G55),$H55-$G55,"—")</f>
        <v/>
      </c>
      <c r="J55" s="8">
        <f>IF(ISNUMBER($G55),($H55-$G55)/$H55,"—")</f>
        <v/>
      </c>
      <c r="K55" s="6" t="inlineStr">
        <is>
          <t>осень, 1 сентября</t>
        </is>
      </c>
      <c r="L55" s="9" t="inlineStr">
        <is>
          <t>да</t>
        </is>
      </c>
      <c r="M55" s="6" t="inlineStr">
        <is>
          <t>новый — завести через /add</t>
        </is>
      </c>
      <c r="N55" s="6" t="inlineStr">
        <is>
          <t>новый · цена поднята с 5990 ₽: с упаковкой (140 ₽) маржа была 45,1% (&lt;50%), новая маржа 57,8% · в прайсе также «Георгин Китай» 99,90 ₽ (01296) — счёт по основной позиции «Георгина» (01018)</t>
        </is>
      </c>
    </row>
    <row r="56" ht="45" customHeight="1">
      <c r="A56" s="3" t="inlineStr">
        <is>
          <t>NEW-40</t>
        </is>
      </c>
      <c r="B56" s="12" t="inlineStr">
        <is>
          <t>Пламя 101</t>
        </is>
      </c>
      <c r="C56" s="13" t="inlineStr">
        <is>
          <t>Люкс</t>
        </is>
      </c>
      <c r="D56" s="6" t="inlineStr">
        <is>
          <t>роза Кения красная 40 см × 101</t>
        </is>
      </c>
      <c r="E56" s="6" t="inlineStr">
        <is>
          <t>Сто одна красная роза. Классический жест, который читается без открытки.</t>
        </is>
      </c>
      <c r="F56" s="7">
        <f>Прайс!$G$8</f>
        <v/>
      </c>
      <c r="G56" s="7">
        <f>101*Прайс!$D$78+$F56</f>
        <v/>
      </c>
      <c r="H56" s="7" t="n">
        <v>7990</v>
      </c>
      <c r="I56" s="7">
        <f>IF(ISNUMBER($G56),$H56-$G56,"—")</f>
        <v/>
      </c>
      <c r="J56" s="8">
        <f>IF(ISNUMBER($G56),($H56-$G56)/$H56,"—")</f>
        <v/>
      </c>
      <c r="K56" s="6" t="inlineStr">
        <is>
          <t>предложение руки</t>
        </is>
      </c>
      <c r="L56" s="9" t="inlineStr">
        <is>
          <t>да</t>
        </is>
      </c>
      <c r="M56" s="6" t="inlineStr">
        <is>
          <t>новый — завести через /add</t>
        </is>
      </c>
      <c r="N56" s="6" t="inlineStr">
        <is>
          <t>новый</t>
        </is>
      </c>
    </row>
    <row r="57" ht="60" customHeight="1">
      <c r="A57" s="3" t="inlineStr">
        <is>
          <t>NEW-41</t>
        </is>
      </c>
      <c r="B57" s="12" t="inlineStr">
        <is>
          <t>Оникс</t>
        </is>
      </c>
      <c r="C57" s="13" t="inlineStr">
        <is>
          <t>Люкс</t>
        </is>
      </c>
      <c r="D57" s="6" t="inlineStr">
        <is>
          <t>лилия пионовидная × 9</t>
        </is>
      </c>
      <c r="E57" s="6" t="inlineStr">
        <is>
          <t>Девять пионовидных лилий: крупная форма, сильный аромат, вечерний характер. Раскрываются каскадом.</t>
        </is>
      </c>
      <c r="F57" s="7">
        <f>Прайс!$G$5</f>
        <v/>
      </c>
      <c r="G57" s="7">
        <f>9*Прайс!$D$56+$F57</f>
        <v/>
      </c>
      <c r="H57" s="7" t="n">
        <v>8690</v>
      </c>
      <c r="I57" s="7">
        <f>IF(ISNUMBER($G57),$H57-$G57,"—")</f>
        <v/>
      </c>
      <c r="J57" s="8">
        <f>IF(ISNUMBER($G57),($H57-$G57)/$H57,"—")</f>
        <v/>
      </c>
      <c r="K57" s="6" t="inlineStr">
        <is>
          <t>юбилей</t>
        </is>
      </c>
      <c r="L57" s="9" t="inlineStr">
        <is>
          <t>да</t>
        </is>
      </c>
      <c r="M57" s="6" t="inlineStr">
        <is>
          <t>новый — завести через /add</t>
        </is>
      </c>
      <c r="N57" s="6" t="inlineStr">
        <is>
          <t>новый · цена поднята с 6490 ₽: с упаковкой (90 ₽) маржа была 43,2% (&lt;50%), новая маржа 57,5% · в прайсе также «ЛИЛИЯ пионовидная КИТАЙ» 299 ₽ (01209) — счёт по основной позиции (00968)</t>
        </is>
      </c>
    </row>
    <row r="58" ht="45" customHeight="1">
      <c r="A58" s="3" t="inlineStr">
        <is>
          <t>NEW-42</t>
        </is>
      </c>
      <c r="B58" s="12" t="inlineStr">
        <is>
          <t>Эквадор Полюс</t>
        </is>
      </c>
      <c r="C58" s="13" t="inlineStr">
        <is>
          <t>Люкс</t>
        </is>
      </c>
      <c r="D58" s="6" t="inlineStr">
        <is>
          <t>роза Эквадор Мондиаль 50 см × 51</t>
        </is>
      </c>
      <c r="E58" s="6" t="inlineStr">
        <is>
          <t>Пятьдесят одна роза Мондиаль: крупная эквадорская голова, ровная спираль, идеальная геометрия.</t>
        </is>
      </c>
      <c r="F58" s="7">
        <f>Прайс!$G$7</f>
        <v/>
      </c>
      <c r="G58" s="7">
        <f>51*Прайс!$D$93+$F58</f>
        <v/>
      </c>
      <c r="H58" s="7" t="n">
        <v>8990</v>
      </c>
      <c r="I58" s="7">
        <f>IF(ISNUMBER($G58),$H58-$G58,"—")</f>
        <v/>
      </c>
      <c r="J58" s="8">
        <f>IF(ISNUMBER($G58),($H58-$G58)/$H58,"—")</f>
        <v/>
      </c>
      <c r="K58" s="6" t="inlineStr">
        <is>
          <t>годовщина</t>
        </is>
      </c>
      <c r="L58" s="9" t="inlineStr">
        <is>
          <t>нет</t>
        </is>
      </c>
      <c r="M58" s="6" t="inlineStr">
        <is>
          <t>новый — завести через /add</t>
        </is>
      </c>
      <c r="N58" s="6" t="inlineStr">
        <is>
          <t>новый · длина в списке не указана — счёт по 50 см (00777)</t>
        </is>
      </c>
    </row>
    <row r="59" ht="45" customHeight="1">
      <c r="A59" s="3" t="inlineStr">
        <is>
          <t>NEW-43</t>
        </is>
      </c>
      <c r="B59" s="14" t="inlineStr">
        <is>
          <t>Махагон</t>
        </is>
      </c>
      <c r="C59" s="15" t="inlineStr">
        <is>
          <t>ВАУ</t>
        </is>
      </c>
      <c r="D59" s="6" t="inlineStr">
        <is>
          <t>гвоздика микс × 101</t>
        </is>
      </c>
      <c r="E59" s="6" t="inlineStr">
        <is>
          <t>Сто одна гвоздика в тёмном миксе. Редко кто ждёт такого объёма от гвоздики, а держится она дольше роз.</t>
        </is>
      </c>
      <c r="F59" s="7">
        <f>Прайс!$G$8</f>
        <v/>
      </c>
      <c r="G59" s="7">
        <f>101*Прайс!$D$33+$F59</f>
        <v/>
      </c>
      <c r="H59" s="7" t="n">
        <v>11990</v>
      </c>
      <c r="I59" s="7">
        <f>IF(ISNUMBER($G59),$H59-$G59,"—")</f>
        <v/>
      </c>
      <c r="J59" s="8">
        <f>IF(ISNUMBER($G59),($H59-$G59)/$H59,"—")</f>
        <v/>
      </c>
      <c r="K59" s="6" t="inlineStr">
        <is>
          <t>юбилей</t>
        </is>
      </c>
      <c r="L59" s="9" t="inlineStr">
        <is>
          <t>нет</t>
        </is>
      </c>
      <c r="M59" s="6" t="inlineStr">
        <is>
          <t>новый — завести через /add</t>
        </is>
      </c>
      <c r="N59" s="6" t="inlineStr">
        <is>
          <t>новый · микс в прайсе не выделен — счёт по «гвоздика Эквадор» (00026)</t>
        </is>
      </c>
    </row>
    <row r="60" ht="60" customHeight="1">
      <c r="A60" s="3" t="inlineStr">
        <is>
          <t>NEW-44</t>
        </is>
      </c>
      <c r="B60" s="14" t="inlineStr">
        <is>
          <t>Богема</t>
        </is>
      </c>
      <c r="C60" s="15" t="inlineStr">
        <is>
          <t>ВАУ</t>
        </is>
      </c>
      <c r="D60" s="6" t="inlineStr">
        <is>
          <t>лилия пионовидная × 15</t>
        </is>
      </c>
      <c r="E60" s="6" t="inlineStr">
        <is>
          <t>Пятнадцать пионовидных лилий — огромный, ароматный, почти театральный букет. Заполняет собой комнату.</t>
        </is>
      </c>
      <c r="F60" s="7">
        <f>Прайс!$G$6</f>
        <v/>
      </c>
      <c r="G60" s="7">
        <f>15*Прайс!$D$56+$F60</f>
        <v/>
      </c>
      <c r="H60" s="7" t="n">
        <v>14490</v>
      </c>
      <c r="I60" s="7">
        <f>IF(ISNUMBER($G60),$H60-$G60,"—")</f>
        <v/>
      </c>
      <c r="J60" s="8">
        <f>IF(ISNUMBER($G60),($H60-$G60)/$H60,"—")</f>
        <v/>
      </c>
      <c r="K60" s="6" t="inlineStr">
        <is>
          <t>юбилей</t>
        </is>
      </c>
      <c r="L60" s="9" t="inlineStr">
        <is>
          <t>нет</t>
        </is>
      </c>
      <c r="M60" s="6" t="inlineStr">
        <is>
          <t>новый — завести через /add</t>
        </is>
      </c>
      <c r="N60" s="6" t="inlineStr">
        <is>
          <t>новый · цена поднята с 10990 ₽: с упаковкой (140 ₽) маржа была 44,1% (&lt;50%), новая маржа 57,6% · в прайсе также «ЛИЛИЯ пионовидная КИТАЙ» 299 ₽ (01209) — счёт по основной позиции (00968)</t>
        </is>
      </c>
    </row>
    <row r="61" ht="45" customHeight="1">
      <c r="A61" s="3" t="inlineStr">
        <is>
          <t>NEW-45</t>
        </is>
      </c>
      <c r="B61" s="14" t="inlineStr">
        <is>
          <t>Корона 101</t>
        </is>
      </c>
      <c r="C61" s="15" t="inlineStr">
        <is>
          <t>ВАУ</t>
        </is>
      </c>
      <c r="D61" s="6" t="inlineStr">
        <is>
          <t>роза Горкунов красная 50 см × 101</t>
        </is>
      </c>
      <c r="E61" s="6" t="inlineStr">
        <is>
          <t>Сто одна красная роза Горкунова на пятидесятой ноге: российская срезка, плотный бутон, ровная спираль.</t>
        </is>
      </c>
      <c r="F61" s="7">
        <f>Прайс!$G$8</f>
        <v/>
      </c>
      <c r="G61" s="7">
        <f>101*Прайс!$D$74+$F61</f>
        <v/>
      </c>
      <c r="H61" s="7" t="n">
        <v>14990</v>
      </c>
      <c r="I61" s="7">
        <f>IF(ISNUMBER($G61),$H61-$G61,"—")</f>
        <v/>
      </c>
      <c r="J61" s="8">
        <f>IF(ISNUMBER($G61),($H61-$G61)/$H61,"—")</f>
        <v/>
      </c>
      <c r="K61" s="6" t="inlineStr">
        <is>
          <t>предложение руки</t>
        </is>
      </c>
      <c r="L61" s="9" t="inlineStr">
        <is>
          <t>да</t>
        </is>
      </c>
      <c r="M61" s="6" t="inlineStr">
        <is>
          <t>новый — завести через /add</t>
        </is>
      </c>
      <c r="N61" s="6" t="inlineStr">
        <is>
          <t>новый · цвет в прайсе не выделен — счёт по «Роза ГОРКУНОВ 50 см одног» (01065)</t>
        </is>
      </c>
    </row>
    <row r="62" ht="45" customHeight="1">
      <c r="A62" s="3" t="inlineStr">
        <is>
          <t>NEW-46</t>
        </is>
      </c>
      <c r="B62" s="14" t="inlineStr">
        <is>
          <t>Очаг 51</t>
        </is>
      </c>
      <c r="C62" s="15" t="inlineStr">
        <is>
          <t>ВАУ</t>
        </is>
      </c>
      <c r="D62" s="6" t="inlineStr">
        <is>
          <t>подсолнух × 51</t>
        </is>
      </c>
      <c r="E62" s="6" t="inlineStr">
        <is>
          <t>Пятьдесят один подсолнух. Ростовой букет-солнце, который проще внести вдвоём.</t>
        </is>
      </c>
      <c r="F62" s="7">
        <f>Прайс!$G$7</f>
        <v/>
      </c>
      <c r="G62" s="7">
        <f>51*Прайс!$D$68+$F62</f>
        <v/>
      </c>
      <c r="H62" s="7" t="n">
        <v>16990</v>
      </c>
      <c r="I62" s="7">
        <f>IF(ISNUMBER($G62),$H62-$G62,"—")</f>
        <v/>
      </c>
      <c r="J62" s="8">
        <f>IF(ISNUMBER($G62),($H62-$G62)/$H62,"—")</f>
        <v/>
      </c>
      <c r="K62" s="6" t="inlineStr">
        <is>
          <t>осень</t>
        </is>
      </c>
      <c r="L62" s="9" t="inlineStr">
        <is>
          <t>да</t>
        </is>
      </c>
      <c r="M62" s="6" t="inlineStr">
        <is>
          <t>новый — завести через /add</t>
        </is>
      </c>
      <c r="N62" s="6" t="inlineStr">
        <is>
          <t>новый</t>
        </is>
      </c>
    </row>
  </sheetData>
  <autoFilter ref="A2:N6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34" customWidth="1" min="4" max="4"/>
    <col width="44" customWidth="1" min="5" max="5"/>
    <col width="14" customWidth="1" min="6" max="6"/>
    <col width="10" customWidth="1" min="7" max="7"/>
    <col width="10" customWidth="1" min="8" max="8"/>
    <col width="10" customWidth="1" min="9" max="9"/>
    <col width="14" customWidth="1" min="10" max="10"/>
    <col width="34" customWidth="1" min="11" max="11"/>
  </cols>
  <sheetData>
    <row r="1" ht="32" customHeight="1">
      <c r="A1" s="1" t="inlineStr">
        <is>
          <t>Блок «1 сентября». Все цифры — ссылки на лист «Каталог», отдельно ничего не правится. Себестоимость включает упаковку; доставка оплачивается клиентом отдельно.</t>
        </is>
      </c>
    </row>
    <row r="2" ht="32" customHeight="1">
      <c r="A2" s="2" t="inlineStr">
        <is>
          <t>ID</t>
        </is>
      </c>
      <c r="B2" s="2" t="inlineStr">
        <is>
          <t>Название</t>
        </is>
      </c>
      <c r="C2" s="2" t="inlineStr">
        <is>
          <t>Категория</t>
        </is>
      </c>
      <c r="D2" s="2" t="inlineStr">
        <is>
          <t>Состав</t>
        </is>
      </c>
      <c r="E2" s="2" t="inlineStr">
        <is>
          <t>Описание</t>
        </is>
      </c>
      <c r="F2" s="2" t="inlineStr">
        <is>
          <t>Себестоимость</t>
        </is>
      </c>
      <c r="G2" s="2" t="inlineStr">
        <is>
          <t>Цена</t>
        </is>
      </c>
      <c r="H2" s="2" t="inlineStr">
        <is>
          <t>Маржа ₽</t>
        </is>
      </c>
      <c r="I2" s="2" t="inlineStr">
        <is>
          <t>Маржа %</t>
        </is>
      </c>
      <c r="J2" s="2" t="inlineStr">
        <is>
          <t>Пометка</t>
        </is>
      </c>
      <c r="K2" s="2" t="inlineStr">
        <is>
          <t>Комментарий</t>
        </is>
      </c>
    </row>
    <row r="3" ht="58" customHeight="1">
      <c r="A3" s="3">
        <f>Каталог!$A$14</f>
        <v/>
      </c>
      <c r="B3" s="16">
        <f>Каталог!$B$14</f>
        <v/>
      </c>
      <c r="C3" s="9">
        <f>Каталог!$C$14</f>
        <v/>
      </c>
      <c r="D3" s="6">
        <f>Каталог!$D$14</f>
        <v/>
      </c>
      <c r="E3" s="6">
        <f>Каталог!$E$14</f>
        <v/>
      </c>
      <c r="F3" s="7">
        <f>Каталог!$G$14</f>
        <v/>
      </c>
      <c r="G3" s="7">
        <f>Каталог!$H$14</f>
        <v/>
      </c>
      <c r="H3" s="7">
        <f>IF(ISNUMBER($F3),$G3-$F3,"—")</f>
        <v/>
      </c>
      <c r="I3" s="8">
        <f>IF(ISNUMBER($F3),($G3-$F3)/$G3,"—")</f>
        <v/>
      </c>
      <c r="J3" s="9" t="inlineStr">
        <is>
          <t>из каталога</t>
        </is>
      </c>
      <c r="K3" s="6" t="inlineStr">
        <is>
          <t>красные розы + солидаго, классика первого звонка</t>
        </is>
      </c>
    </row>
    <row r="4" ht="58" customHeight="1">
      <c r="A4" s="3">
        <f>Каталог!$A$29</f>
        <v/>
      </c>
      <c r="B4" s="16">
        <f>Каталог!$B$29</f>
        <v/>
      </c>
      <c r="C4" s="9">
        <f>Каталог!$C$29</f>
        <v/>
      </c>
      <c r="D4" s="6">
        <f>Каталог!$D$29</f>
        <v/>
      </c>
      <c r="E4" s="6">
        <f>Каталог!$E$29</f>
        <v/>
      </c>
      <c r="F4" s="7">
        <f>Каталог!$G$29</f>
        <v/>
      </c>
      <c r="G4" s="7">
        <f>Каталог!$H$29</f>
        <v/>
      </c>
      <c r="H4" s="7">
        <f>IF(ISNUMBER($F4),$G4-$F4,"—")</f>
        <v/>
      </c>
      <c r="I4" s="8">
        <f>IF(ISNUMBER($F4),($G4-$F4)/$G4,"—")</f>
        <v/>
      </c>
      <c r="J4" s="9" t="inlineStr">
        <is>
          <t>из каталога</t>
        </is>
      </c>
      <c r="K4" s="6" t="inlineStr">
        <is>
          <t>ростовой букет для линейки</t>
        </is>
      </c>
    </row>
    <row r="5" ht="58" customHeight="1">
      <c r="A5" s="3">
        <f>Каталог!$A$15</f>
        <v/>
      </c>
      <c r="B5" s="16">
        <f>Каталог!$B$15</f>
        <v/>
      </c>
      <c r="C5" s="9">
        <f>Каталог!$C$15</f>
        <v/>
      </c>
      <c r="D5" s="6">
        <f>Каталог!$D$15</f>
        <v/>
      </c>
      <c r="E5" s="6">
        <f>Каталог!$E$15</f>
        <v/>
      </c>
      <c r="F5" s="7">
        <f>Каталог!$G$15</f>
        <v/>
      </c>
      <c r="G5" s="7">
        <f>Каталог!$H$15</f>
        <v/>
      </c>
      <c r="H5" s="7">
        <f>IF(ISNUMBER($F5),$G5-$F5,"—")</f>
        <v/>
      </c>
      <c r="I5" s="8">
        <f>IF(ISNUMBER($F5),($G5-$F5)/$G5,"—")</f>
        <v/>
      </c>
      <c r="J5" s="9" t="inlineStr">
        <is>
          <t>из каталога</t>
        </is>
      </c>
      <c r="K5" s="6" t="inlineStr">
        <is>
          <t>подсолнухи — самый «сентябрьский» цветок</t>
        </is>
      </c>
    </row>
    <row r="6" ht="58" customHeight="1">
      <c r="A6" s="3">
        <f>Каталог!$A$52</f>
        <v/>
      </c>
      <c r="B6" s="16">
        <f>Каталог!$B$52</f>
        <v/>
      </c>
      <c r="C6" s="9">
        <f>Каталог!$C$52</f>
        <v/>
      </c>
      <c r="D6" s="6">
        <f>Каталог!$D$52</f>
        <v/>
      </c>
      <c r="E6" s="6">
        <f>Каталог!$E$52</f>
        <v/>
      </c>
      <c r="F6" s="7">
        <f>Каталог!$G$52</f>
        <v/>
      </c>
      <c r="G6" s="7">
        <f>Каталог!$H$52</f>
        <v/>
      </c>
      <c r="H6" s="7">
        <f>IF(ISNUMBER($F6),$G6-$F6,"—")</f>
        <v/>
      </c>
      <c r="I6" s="8">
        <f>IF(ISNUMBER($F6),($G6-$F6)/$G6,"—")</f>
        <v/>
      </c>
      <c r="J6" s="9" t="inlineStr">
        <is>
          <t>из каталога</t>
        </is>
      </c>
      <c r="K6" s="6" t="inlineStr">
        <is>
          <t>подсолнухи охапкой, для директора/завуча</t>
        </is>
      </c>
    </row>
    <row r="7" ht="58" customHeight="1">
      <c r="A7" s="3">
        <f>Каталог!$A$55</f>
        <v/>
      </c>
      <c r="B7" s="16">
        <f>Каталог!$B$55</f>
        <v/>
      </c>
      <c r="C7" s="9">
        <f>Каталог!$C$55</f>
        <v/>
      </c>
      <c r="D7" s="6">
        <f>Каталог!$D$55</f>
        <v/>
      </c>
      <c r="E7" s="6">
        <f>Каталог!$E$55</f>
        <v/>
      </c>
      <c r="F7" s="7">
        <f>Каталог!$G$55</f>
        <v/>
      </c>
      <c r="G7" s="7">
        <f>Каталог!$H$55</f>
        <v/>
      </c>
      <c r="H7" s="7">
        <f>IF(ISNUMBER($F7),$G7-$F7,"—")</f>
        <v/>
      </c>
      <c r="I7" s="8">
        <f>IF(ISNUMBER($F7),($G7-$F7)/$G7,"—")</f>
        <v/>
      </c>
      <c r="J7" s="9" t="inlineStr">
        <is>
          <t>из каталога</t>
        </is>
      </c>
      <c r="K7" s="6" t="inlineStr">
        <is>
          <t>осенний люкс, подарок от класса</t>
        </is>
      </c>
    </row>
    <row r="8" ht="58" customHeight="1">
      <c r="A8" s="3">
        <f>Каталог!$A$35</f>
        <v/>
      </c>
      <c r="B8" s="16">
        <f>Каталог!$B$35</f>
        <v/>
      </c>
      <c r="C8" s="9">
        <f>Каталог!$C$35</f>
        <v/>
      </c>
      <c r="D8" s="6">
        <f>Каталог!$D$35</f>
        <v/>
      </c>
      <c r="E8" s="6">
        <f>Каталог!$E$35</f>
        <v/>
      </c>
      <c r="F8" s="7">
        <f>Каталог!$G$35</f>
        <v/>
      </c>
      <c r="G8" s="7">
        <f>Каталог!$H$35</f>
        <v/>
      </c>
      <c r="H8" s="7">
        <f>IF(ISNUMBER($F8),$G8-$F8,"—")</f>
        <v/>
      </c>
      <c r="I8" s="8">
        <f>IF(ISNUMBER($F8),($G8-$F8)/$G8,"—")</f>
        <v/>
      </c>
      <c r="J8" s="9" t="inlineStr">
        <is>
          <t>из каталога</t>
        </is>
      </c>
      <c r="K8" s="6" t="inlineStr">
        <is>
          <t>гвоздика микс, стойкая на жаре</t>
        </is>
      </c>
    </row>
    <row r="9" ht="58" customHeight="1">
      <c r="A9" s="3">
        <f>Каталог!$A$38</f>
        <v/>
      </c>
      <c r="B9" s="16">
        <f>Каталог!$B$38</f>
        <v/>
      </c>
      <c r="C9" s="9">
        <f>Каталог!$C$38</f>
        <v/>
      </c>
      <c r="D9" s="6">
        <f>Каталог!$D$38</f>
        <v/>
      </c>
      <c r="E9" s="6">
        <f>Каталог!$E$38</f>
        <v/>
      </c>
      <c r="F9" s="7">
        <f>Каталог!$G$38</f>
        <v/>
      </c>
      <c r="G9" s="7">
        <f>Каталог!$H$38</f>
        <v/>
      </c>
      <c r="H9" s="7">
        <f>IF(ISNUMBER($F9),$G9-$F9,"—")</f>
        <v/>
      </c>
      <c r="I9" s="8">
        <f>IF(ISNUMBER($F9),($G9-$F9)/$G9,"—")</f>
        <v/>
      </c>
      <c r="J9" s="9" t="inlineStr">
        <is>
          <t>из каталога</t>
        </is>
      </c>
      <c r="K9" s="6" t="inlineStr">
        <is>
          <t>герберы, крупный и щедрый</t>
        </is>
      </c>
    </row>
    <row r="10" ht="58" customHeight="1">
      <c r="A10" s="3">
        <f>Каталог!$A$41</f>
        <v/>
      </c>
      <c r="B10" s="16">
        <f>Каталог!$B$41</f>
        <v/>
      </c>
      <c r="C10" s="9">
        <f>Каталог!$C$41</f>
        <v/>
      </c>
      <c r="D10" s="6">
        <f>Каталог!$D$41</f>
        <v/>
      </c>
      <c r="E10" s="6">
        <f>Каталог!$E$41</f>
        <v/>
      </c>
      <c r="F10" s="7">
        <f>Каталог!$G$41</f>
        <v/>
      </c>
      <c r="G10" s="7">
        <f>Каталог!$H$41</f>
        <v/>
      </c>
      <c r="H10" s="7">
        <f>IF(ISNUMBER($F10),$G10-$F10,"—")</f>
        <v/>
      </c>
      <c r="I10" s="8">
        <f>IF(ISNUMBER($F10),($G10-$F10)/$G10,"—")</f>
        <v/>
      </c>
      <c r="J10" s="9" t="inlineStr">
        <is>
          <t>из каталога</t>
        </is>
      </c>
      <c r="K10" s="6" t="inlineStr">
        <is>
          <t>георгины + астильба, тёплая осенняя гамма</t>
        </is>
      </c>
    </row>
    <row r="11" ht="58" customHeight="1">
      <c r="A11" s="3">
        <f>Каталог!$A$25</f>
        <v/>
      </c>
      <c r="B11" s="16">
        <f>Каталог!$B$25</f>
        <v/>
      </c>
      <c r="C11" s="9">
        <f>Каталог!$C$25</f>
        <v/>
      </c>
      <c r="D11" s="6">
        <f>Каталог!$D$25</f>
        <v/>
      </c>
      <c r="E11" s="6">
        <f>Каталог!$E$25</f>
        <v/>
      </c>
      <c r="F11" s="7">
        <f>Каталог!$G$25</f>
        <v/>
      </c>
      <c r="G11" s="7">
        <f>Каталог!$H$25</f>
        <v/>
      </c>
      <c r="H11" s="7">
        <f>IF(ISNUMBER($F11),$G11-$F11,"—")</f>
        <v/>
      </c>
      <c r="I11" s="8">
        <f>IF(ISNUMBER($F11),($G11-$F11)/$G11,"—")</f>
        <v/>
      </c>
      <c r="J11" s="15" t="inlineStr">
        <is>
          <t>новый</t>
        </is>
      </c>
      <c r="K11" s="6" t="inlineStr">
        <is>
          <t>сборка спиралью, 5–7 минут, до 4 видов</t>
        </is>
      </c>
    </row>
    <row r="12" ht="58" customHeight="1">
      <c r="A12" s="3">
        <f>Каталог!$A$30</f>
        <v/>
      </c>
      <c r="B12" s="16">
        <f>Каталог!$B$30</f>
        <v/>
      </c>
      <c r="C12" s="9">
        <f>Каталог!$C$30</f>
        <v/>
      </c>
      <c r="D12" s="6">
        <f>Каталог!$D$30</f>
        <v/>
      </c>
      <c r="E12" s="6">
        <f>Каталог!$E$30</f>
        <v/>
      </c>
      <c r="F12" s="7">
        <f>Каталог!$G$30</f>
        <v/>
      </c>
      <c r="G12" s="7">
        <f>Каталог!$H$30</f>
        <v/>
      </c>
      <c r="H12" s="7">
        <f>IF(ISNUMBER($F12),$G12-$F12,"—")</f>
        <v/>
      </c>
      <c r="I12" s="8">
        <f>IF(ISNUMBER($F12),($G12-$F12)/$G12,"—")</f>
        <v/>
      </c>
      <c r="J12" s="15" t="inlineStr">
        <is>
          <t>новый</t>
        </is>
      </c>
      <c r="K12" s="6" t="inlineStr">
        <is>
          <t>сборка спиралью, 5–7 минут, до 4 видов</t>
        </is>
      </c>
    </row>
    <row r="13" ht="58" customHeight="1">
      <c r="A13" s="3">
        <f>Каталог!$A$27</f>
        <v/>
      </c>
      <c r="B13" s="16">
        <f>Каталог!$B$27</f>
        <v/>
      </c>
      <c r="C13" s="9">
        <f>Каталог!$C$27</f>
        <v/>
      </c>
      <c r="D13" s="6">
        <f>Каталог!$D$27</f>
        <v/>
      </c>
      <c r="E13" s="6">
        <f>Каталог!$E$27</f>
        <v/>
      </c>
      <c r="F13" s="7">
        <f>Каталог!$G$27</f>
        <v/>
      </c>
      <c r="G13" s="7">
        <f>Каталог!$H$27</f>
        <v/>
      </c>
      <c r="H13" s="7">
        <f>IF(ISNUMBER($F13),$G13-$F13,"—")</f>
        <v/>
      </c>
      <c r="I13" s="8">
        <f>IF(ISNUMBER($F13),($G13-$F13)/$G13,"—")</f>
        <v/>
      </c>
      <c r="J13" s="15" t="inlineStr">
        <is>
          <t>новый</t>
        </is>
      </c>
      <c r="K13" s="6" t="inlineStr">
        <is>
          <t>сборка спиралью, 5–7 минут, до 4 видов</t>
        </is>
      </c>
    </row>
    <row r="14" ht="58" customHeight="1">
      <c r="A14" s="3">
        <f>Каталог!$A$31</f>
        <v/>
      </c>
      <c r="B14" s="16">
        <f>Каталог!$B$31</f>
        <v/>
      </c>
      <c r="C14" s="9">
        <f>Каталог!$C$31</f>
        <v/>
      </c>
      <c r="D14" s="6">
        <f>Каталог!$D$31</f>
        <v/>
      </c>
      <c r="E14" s="6">
        <f>Каталог!$E$31</f>
        <v/>
      </c>
      <c r="F14" s="7">
        <f>Каталог!$G$31</f>
        <v/>
      </c>
      <c r="G14" s="7">
        <f>Каталог!$H$31</f>
        <v/>
      </c>
      <c r="H14" s="7">
        <f>IF(ISNUMBER($F14),$G14-$F14,"—")</f>
        <v/>
      </c>
      <c r="I14" s="8">
        <f>IF(ISNUMBER($F14),($G14-$F14)/$G14,"—")</f>
        <v/>
      </c>
      <c r="J14" s="15" t="inlineStr">
        <is>
          <t>новый</t>
        </is>
      </c>
      <c r="K14" s="6" t="inlineStr">
        <is>
          <t>сборка спиралью, 5–7 минут, до 4 видов</t>
        </is>
      </c>
    </row>
    <row r="15" ht="58" customHeight="1">
      <c r="A15" s="3">
        <f>Каталог!$A$26</f>
        <v/>
      </c>
      <c r="B15" s="16">
        <f>Каталог!$B$26</f>
        <v/>
      </c>
      <c r="C15" s="9">
        <f>Каталог!$C$26</f>
        <v/>
      </c>
      <c r="D15" s="6">
        <f>Каталог!$D$26</f>
        <v/>
      </c>
      <c r="E15" s="6">
        <f>Каталог!$E$26</f>
        <v/>
      </c>
      <c r="F15" s="7">
        <f>Каталог!$G$26</f>
        <v/>
      </c>
      <c r="G15" s="7">
        <f>Каталог!$H$26</f>
        <v/>
      </c>
      <c r="H15" s="7">
        <f>IF(ISNUMBER($F15),$G15-$F15,"—")</f>
        <v/>
      </c>
      <c r="I15" s="8">
        <f>IF(ISNUMBER($F15),($G15-$F15)/$G15,"—")</f>
        <v/>
      </c>
      <c r="J15" s="15" t="inlineStr">
        <is>
          <t>новый</t>
        </is>
      </c>
      <c r="K15" s="6" t="inlineStr">
        <is>
          <t>сборка спиралью, 5–7 минут, до 4 видов</t>
        </is>
      </c>
    </row>
    <row r="16" ht="58" customHeight="1">
      <c r="A16" s="3">
        <f>Каталог!$A$32</f>
        <v/>
      </c>
      <c r="B16" s="16">
        <f>Каталог!$B$32</f>
        <v/>
      </c>
      <c r="C16" s="9">
        <f>Каталог!$C$32</f>
        <v/>
      </c>
      <c r="D16" s="6">
        <f>Каталог!$D$32</f>
        <v/>
      </c>
      <c r="E16" s="6">
        <f>Каталог!$E$32</f>
        <v/>
      </c>
      <c r="F16" s="7">
        <f>Каталог!$G$32</f>
        <v/>
      </c>
      <c r="G16" s="7">
        <f>Каталог!$H$32</f>
        <v/>
      </c>
      <c r="H16" s="7">
        <f>IF(ISNUMBER($F16),$G16-$F16,"—")</f>
        <v/>
      </c>
      <c r="I16" s="8">
        <f>IF(ISNUMBER($F16),($G16-$F16)/$G16,"—")</f>
        <v/>
      </c>
      <c r="J16" s="15" t="inlineStr">
        <is>
          <t>новый</t>
        </is>
      </c>
      <c r="K16" s="6" t="inlineStr">
        <is>
          <t>сборка спиралью, 5–7 минут, до 4 видов</t>
        </is>
      </c>
    </row>
    <row r="17" ht="58" customHeight="1">
      <c r="A17" s="3">
        <f>Каталог!$A$24</f>
        <v/>
      </c>
      <c r="B17" s="16">
        <f>Каталог!$B$24</f>
        <v/>
      </c>
      <c r="C17" s="9">
        <f>Каталог!$C$24</f>
        <v/>
      </c>
      <c r="D17" s="6">
        <f>Каталог!$D$24</f>
        <v/>
      </c>
      <c r="E17" s="6">
        <f>Каталог!$E$24</f>
        <v/>
      </c>
      <c r="F17" s="7">
        <f>Каталог!$G$24</f>
        <v/>
      </c>
      <c r="G17" s="7">
        <f>Каталог!$H$24</f>
        <v/>
      </c>
      <c r="H17" s="7">
        <f>IF(ISNUMBER($F17),$G17-$F17,"—")</f>
        <v/>
      </c>
      <c r="I17" s="8">
        <f>IF(ISNUMBER($F17),($G17-$F17)/$G17,"—")</f>
        <v/>
      </c>
      <c r="J17" s="15" t="inlineStr">
        <is>
          <t>новый</t>
        </is>
      </c>
      <c r="K17" s="6" t="inlineStr">
        <is>
          <t>сборка спиралью, 5–7 минут, до 4 видов</t>
        </is>
      </c>
    </row>
    <row r="18" ht="58" customHeight="1">
      <c r="A18" s="3">
        <f>Каталог!$A$28</f>
        <v/>
      </c>
      <c r="B18" s="16">
        <f>Каталог!$B$28</f>
        <v/>
      </c>
      <c r="C18" s="9">
        <f>Каталог!$C$28</f>
        <v/>
      </c>
      <c r="D18" s="6">
        <f>Каталог!$D$28</f>
        <v/>
      </c>
      <c r="E18" s="6">
        <f>Каталог!$E$28</f>
        <v/>
      </c>
      <c r="F18" s="7">
        <f>Каталог!$G$28</f>
        <v/>
      </c>
      <c r="G18" s="7">
        <f>Каталог!$H$28</f>
        <v/>
      </c>
      <c r="H18" s="7">
        <f>IF(ISNUMBER($F18),$G18-$F18,"—")</f>
        <v/>
      </c>
      <c r="I18" s="8">
        <f>IF(ISNUMBER($F18),($G18-$F18)/$G18,"—")</f>
        <v/>
      </c>
      <c r="J18" s="15" t="inlineStr">
        <is>
          <t>новый</t>
        </is>
      </c>
      <c r="K18" s="6" t="inlineStr">
        <is>
          <t>сборка спиралью, 5–7 минут, до 4 видов</t>
        </is>
      </c>
    </row>
    <row r="19" ht="58" customHeight="1">
      <c r="A19" s="3">
        <f>Каталог!$A$34</f>
        <v/>
      </c>
      <c r="B19" s="16">
        <f>Каталог!$B$34</f>
        <v/>
      </c>
      <c r="C19" s="9">
        <f>Каталог!$C$34</f>
        <v/>
      </c>
      <c r="D19" s="6">
        <f>Каталог!$D$34</f>
        <v/>
      </c>
      <c r="E19" s="6">
        <f>Каталог!$E$34</f>
        <v/>
      </c>
      <c r="F19" s="7">
        <f>Каталог!$G$34</f>
        <v/>
      </c>
      <c r="G19" s="7">
        <f>Каталог!$H$34</f>
        <v/>
      </c>
      <c r="H19" s="7">
        <f>IF(ISNUMBER($F19),$G19-$F19,"—")</f>
        <v/>
      </c>
      <c r="I19" s="8">
        <f>IF(ISNUMBER($F19),($G19-$F19)/$G19,"—")</f>
        <v/>
      </c>
      <c r="J19" s="15" t="inlineStr">
        <is>
          <t>новый</t>
        </is>
      </c>
      <c r="K19" s="6" t="inlineStr">
        <is>
          <t>сборка спиралью, 5–7 минут, до 4 видов</t>
        </is>
      </c>
    </row>
  </sheetData>
  <autoFilter ref="A2:K19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34" customWidth="1" min="3" max="3"/>
    <col width="9" customWidth="1" min="4" max="4"/>
    <col width="22" customWidth="1" min="5" max="5"/>
    <col width="12" customWidth="1" min="6" max="6"/>
    <col width="10" customWidth="1" min="7" max="7"/>
    <col width="8" customWidth="1" min="8" max="8"/>
    <col width="34" customWidth="1" min="9" max="9"/>
  </cols>
  <sheetData>
    <row r="1" ht="40" customHeight="1">
      <c r="A1" s="1" t="inlineStr">
        <is>
          <t>Порядок вывода каталога в бот. Сегодня 11 августа; пик школьного спроса — 25 августа – 1 сентября. Волна 1 закрывает школу и старт осени, волна 2 — свадьбы, волна 3 — круглогодичная база, которую незачем выкладывать в школьный пик.</t>
        </is>
      </c>
    </row>
    <row r="2" ht="32" customHeight="1">
      <c r="A2" s="2" t="inlineStr">
        <is>
          <t>Волна</t>
        </is>
      </c>
      <c r="B2" s="2" t="inlineStr">
        <is>
          <t>Срок</t>
        </is>
      </c>
      <c r="C2" s="2" t="inlineStr">
        <is>
          <t>Почему так</t>
        </is>
      </c>
      <c r="D2" s="2" t="inlineStr">
        <is>
          <t>ID</t>
        </is>
      </c>
      <c r="E2" s="2" t="inlineStr">
        <is>
          <t>Название</t>
        </is>
      </c>
      <c r="F2" s="2" t="inlineStr">
        <is>
          <t>Категория</t>
        </is>
      </c>
      <c r="G2" s="2" t="inlineStr">
        <is>
          <t>Цена</t>
        </is>
      </c>
      <c r="H2" s="2" t="inlineStr">
        <is>
          <t>Фото</t>
        </is>
      </c>
      <c r="I2" s="2" t="inlineStr">
        <is>
          <t>Что сделать до выкладки</t>
        </is>
      </c>
    </row>
    <row r="3" ht="30" customHeight="1">
      <c r="A3" s="15" t="n">
        <v>1</v>
      </c>
      <c r="B3" s="6" t="inlineStr">
        <is>
          <t>до 18 августа</t>
        </is>
      </c>
      <c r="C3" s="6" t="inlineStr">
        <is>
          <t>школьный блок и старт осени — пик спроса 25 августа – 1 сентября</t>
        </is>
      </c>
      <c r="D3" s="3" t="inlineStr">
        <is>
          <t>NEW-03</t>
        </is>
      </c>
      <c r="E3" s="6" t="inlineStr">
        <is>
          <t>Штрих</t>
        </is>
      </c>
      <c r="F3" s="9" t="inlineStr">
        <is>
          <t>Стандарт</t>
        </is>
      </c>
      <c r="G3" s="7" t="n">
        <v>1290</v>
      </c>
      <c r="H3" s="17" t="inlineStr">
        <is>
          <t>нет</t>
        </is>
      </c>
      <c r="I3" s="6" t="inlineStr">
        <is>
          <t>снять фото, затем /add</t>
        </is>
      </c>
    </row>
    <row r="4" ht="30" customHeight="1">
      <c r="A4" s="15" t="n">
        <v>1</v>
      </c>
      <c r="B4" s="6" t="inlineStr">
        <is>
          <t>до 18 августа</t>
        </is>
      </c>
      <c r="C4" s="6" t="inlineStr">
        <is>
          <t>школьный блок и старт осени — пик спроса 25 августа – 1 сентября</t>
        </is>
      </c>
      <c r="D4" s="3" t="inlineStr">
        <is>
          <t>NEW-06</t>
        </is>
      </c>
      <c r="E4" s="6" t="inlineStr">
        <is>
          <t>Бронза</t>
        </is>
      </c>
      <c r="F4" s="9" t="inlineStr">
        <is>
          <t>Стандарт</t>
        </is>
      </c>
      <c r="G4" s="7" t="n">
        <v>1590</v>
      </c>
      <c r="H4" s="9" t="inlineStr">
        <is>
          <t>да</t>
        </is>
      </c>
      <c r="I4" s="6" t="inlineStr">
        <is>
          <t>фото есть — завести через /add</t>
        </is>
      </c>
    </row>
    <row r="5" ht="30" customHeight="1">
      <c r="A5" s="15" t="n">
        <v>1</v>
      </c>
      <c r="B5" s="6" t="inlineStr">
        <is>
          <t>до 18 августа</t>
        </is>
      </c>
      <c r="C5" s="6" t="inlineStr">
        <is>
          <t>школьный блок и старт осени — пик спроса 25 августа – 1 сентября</t>
        </is>
      </c>
      <c r="D5" s="3" t="inlineStr">
        <is>
          <t>NEW-09</t>
        </is>
      </c>
      <c r="E5" s="6" t="inlineStr">
        <is>
          <t>Первоклассник</t>
        </is>
      </c>
      <c r="F5" s="9" t="inlineStr">
        <is>
          <t>Стандарт</t>
        </is>
      </c>
      <c r="G5" s="7" t="n">
        <v>1890</v>
      </c>
      <c r="H5" s="9" t="inlineStr">
        <is>
          <t>да</t>
        </is>
      </c>
      <c r="I5" s="6" t="inlineStr">
        <is>
          <t>фото есть — завести через /add</t>
        </is>
      </c>
    </row>
    <row r="6" ht="30" customHeight="1">
      <c r="A6" s="15" t="n">
        <v>1</v>
      </c>
      <c r="B6" s="6" t="inlineStr">
        <is>
          <t>до 18 августа</t>
        </is>
      </c>
      <c r="C6" s="6" t="inlineStr">
        <is>
          <t>школьный блок и старт осени — пик спроса 25 августа – 1 сентября</t>
        </is>
      </c>
      <c r="D6" s="3" t="inlineStr">
        <is>
          <t>NEW-10</t>
        </is>
      </c>
      <c r="E6" s="6" t="inlineStr">
        <is>
          <t>Луч</t>
        </is>
      </c>
      <c r="F6" s="9" t="inlineStr">
        <is>
          <t>Стандарт</t>
        </is>
      </c>
      <c r="G6" s="7" t="n">
        <v>1990</v>
      </c>
      <c r="H6" s="9" t="inlineStr">
        <is>
          <t>да</t>
        </is>
      </c>
      <c r="I6" s="6" t="inlineStr">
        <is>
          <t>фото есть — завести через /add</t>
        </is>
      </c>
    </row>
    <row r="7" ht="30" customHeight="1">
      <c r="A7" s="15" t="n">
        <v>1</v>
      </c>
      <c r="B7" s="6" t="inlineStr">
        <is>
          <t>до 18 августа</t>
        </is>
      </c>
      <c r="C7" s="6" t="inlineStr">
        <is>
          <t>школьный блок и старт осени — пик спроса 25 августа – 1 сентября</t>
        </is>
      </c>
      <c r="D7" s="3" t="inlineStr">
        <is>
          <t>NEW-11</t>
        </is>
      </c>
      <c r="E7" s="6" t="inlineStr">
        <is>
          <t>Лиса</t>
        </is>
      </c>
      <c r="F7" s="9" t="inlineStr">
        <is>
          <t>Стандарт</t>
        </is>
      </c>
      <c r="G7" s="7" t="n">
        <v>1990</v>
      </c>
      <c r="H7" s="9" t="inlineStr">
        <is>
          <t>да</t>
        </is>
      </c>
      <c r="I7" s="6" t="inlineStr">
        <is>
          <t>фото есть — завести через /add</t>
        </is>
      </c>
    </row>
    <row r="8" ht="30" customHeight="1">
      <c r="A8" s="15" t="n">
        <v>1</v>
      </c>
      <c r="B8" s="6" t="inlineStr">
        <is>
          <t>до 18 августа</t>
        </is>
      </c>
      <c r="C8" s="6" t="inlineStr">
        <is>
          <t>школьный блок и старт осени — пик спроса 25 августа – 1 сентября</t>
        </is>
      </c>
      <c r="D8" s="3" t="inlineStr">
        <is>
          <t>NEW-13</t>
        </is>
      </c>
      <c r="E8" s="6" t="inlineStr">
        <is>
          <t>Азбука</t>
        </is>
      </c>
      <c r="F8" s="9" t="inlineStr">
        <is>
          <t>Премиум</t>
        </is>
      </c>
      <c r="G8" s="7" t="n">
        <v>2190</v>
      </c>
      <c r="H8" s="17" t="inlineStr">
        <is>
          <t>нет</t>
        </is>
      </c>
      <c r="I8" s="6" t="inlineStr">
        <is>
          <t>снять фото, затем /add</t>
        </is>
      </c>
    </row>
    <row r="9" ht="30" customHeight="1">
      <c r="A9" s="15" t="n">
        <v>1</v>
      </c>
      <c r="B9" s="6" t="inlineStr">
        <is>
          <t>до 18 августа</t>
        </is>
      </c>
      <c r="C9" s="6" t="inlineStr">
        <is>
          <t>школьный блок и старт осени — пик спроса 25 августа – 1 сентября</t>
        </is>
      </c>
      <c r="D9" s="3" t="inlineStr">
        <is>
          <t>NEW-14</t>
        </is>
      </c>
      <c r="E9" s="6" t="inlineStr">
        <is>
          <t>Пенал</t>
        </is>
      </c>
      <c r="F9" s="9" t="inlineStr">
        <is>
          <t>Премиум</t>
        </is>
      </c>
      <c r="G9" s="7" t="n">
        <v>2290</v>
      </c>
      <c r="H9" s="17" t="inlineStr">
        <is>
          <t>нет</t>
        </is>
      </c>
      <c r="I9" s="6" t="inlineStr">
        <is>
          <t>снять фото, затем /add</t>
        </is>
      </c>
    </row>
    <row r="10" ht="30" customHeight="1">
      <c r="A10" s="15" t="n">
        <v>1</v>
      </c>
      <c r="B10" s="6" t="inlineStr">
        <is>
          <t>до 18 августа</t>
        </is>
      </c>
      <c r="C10" s="6" t="inlineStr">
        <is>
          <t>школьный блок и старт осени — пик спроса 25 августа – 1 сентября</t>
        </is>
      </c>
      <c r="D10" s="3" t="inlineStr">
        <is>
          <t>NEW-15</t>
        </is>
      </c>
      <c r="E10" s="6" t="inlineStr">
        <is>
          <t>Линейка</t>
        </is>
      </c>
      <c r="F10" s="9" t="inlineStr">
        <is>
          <t>Премиум</t>
        </is>
      </c>
      <c r="G10" s="7" t="n">
        <v>2290</v>
      </c>
      <c r="H10" s="17" t="inlineStr">
        <is>
          <t>нет</t>
        </is>
      </c>
      <c r="I10" s="6" t="inlineStr">
        <is>
          <t>снять фото, затем /add</t>
        </is>
      </c>
    </row>
    <row r="11" ht="30" customHeight="1">
      <c r="A11" s="15" t="n">
        <v>1</v>
      </c>
      <c r="B11" s="6" t="inlineStr">
        <is>
          <t>до 18 августа</t>
        </is>
      </c>
      <c r="C11" s="6" t="inlineStr">
        <is>
          <t>школьный блок и старт осени — пик спроса 25 августа – 1 сентября</t>
        </is>
      </c>
      <c r="D11" s="3" t="inlineStr">
        <is>
          <t>NEW-16</t>
        </is>
      </c>
      <c r="E11" s="6" t="inlineStr">
        <is>
          <t>Перемена</t>
        </is>
      </c>
      <c r="F11" s="9" t="inlineStr">
        <is>
          <t>Премиум</t>
        </is>
      </c>
      <c r="G11" s="7" t="n">
        <v>2390</v>
      </c>
      <c r="H11" s="17" t="inlineStr">
        <is>
          <t>нет</t>
        </is>
      </c>
      <c r="I11" s="6" t="inlineStr">
        <is>
          <t>снять фото, затем /add</t>
        </is>
      </c>
    </row>
    <row r="12" ht="30" customHeight="1">
      <c r="A12" s="15" t="n">
        <v>1</v>
      </c>
      <c r="B12" s="6" t="inlineStr">
        <is>
          <t>до 18 августа</t>
        </is>
      </c>
      <c r="C12" s="6" t="inlineStr">
        <is>
          <t>школьный блок и старт осени — пик спроса 25 августа – 1 сентября</t>
        </is>
      </c>
      <c r="D12" s="3" t="inlineStr">
        <is>
          <t>NEW-17</t>
        </is>
      </c>
      <c r="E12" s="6" t="inlineStr">
        <is>
          <t>Ранец</t>
        </is>
      </c>
      <c r="F12" s="9" t="inlineStr">
        <is>
          <t>Премиум</t>
        </is>
      </c>
      <c r="G12" s="7" t="n">
        <v>2390</v>
      </c>
      <c r="H12" s="17" t="inlineStr">
        <is>
          <t>нет</t>
        </is>
      </c>
      <c r="I12" s="6" t="inlineStr">
        <is>
          <t>снять фото, затем /add</t>
        </is>
      </c>
    </row>
    <row r="13" ht="30" customHeight="1">
      <c r="A13" s="15" t="n">
        <v>1</v>
      </c>
      <c r="B13" s="6" t="inlineStr">
        <is>
          <t>до 18 августа</t>
        </is>
      </c>
      <c r="C13" s="6" t="inlineStr">
        <is>
          <t>школьный блок и старт осени — пик спроса 25 августа – 1 сентября</t>
        </is>
      </c>
      <c r="D13" s="3" t="inlineStr">
        <is>
          <t>NEW-18</t>
        </is>
      </c>
      <c r="E13" s="6" t="inlineStr">
        <is>
          <t>Звонок</t>
        </is>
      </c>
      <c r="F13" s="9" t="inlineStr">
        <is>
          <t>Премиум</t>
        </is>
      </c>
      <c r="G13" s="7" t="n">
        <v>2490</v>
      </c>
      <c r="H13" s="9" t="inlineStr">
        <is>
          <t>да</t>
        </is>
      </c>
      <c r="I13" s="6" t="inlineStr">
        <is>
          <t>фото есть — завести через /add</t>
        </is>
      </c>
    </row>
    <row r="14" ht="30" customHeight="1">
      <c r="A14" s="15" t="n">
        <v>1</v>
      </c>
      <c r="B14" s="6" t="inlineStr">
        <is>
          <t>до 18 августа</t>
        </is>
      </c>
      <c r="C14" s="6" t="inlineStr">
        <is>
          <t>школьный блок и старт осени — пик спроса 25 августа – 1 сентября</t>
        </is>
      </c>
      <c r="D14" s="3" t="inlineStr">
        <is>
          <t>NEW-19</t>
        </is>
      </c>
      <c r="E14" s="6" t="inlineStr">
        <is>
          <t>Глобус</t>
        </is>
      </c>
      <c r="F14" s="9" t="inlineStr">
        <is>
          <t>Премиум</t>
        </is>
      </c>
      <c r="G14" s="7" t="n">
        <v>2490</v>
      </c>
      <c r="H14" s="17" t="inlineStr">
        <is>
          <t>нет</t>
        </is>
      </c>
      <c r="I14" s="6" t="inlineStr">
        <is>
          <t>снять фото, затем /add</t>
        </is>
      </c>
    </row>
    <row r="15" ht="30" customHeight="1">
      <c r="A15" s="15" t="n">
        <v>1</v>
      </c>
      <c r="B15" s="6" t="inlineStr">
        <is>
          <t>до 18 августа</t>
        </is>
      </c>
      <c r="C15" s="6" t="inlineStr">
        <is>
          <t>школьный блок и старт осени — пик спроса 25 августа – 1 сентября</t>
        </is>
      </c>
      <c r="D15" s="3" t="inlineStr">
        <is>
          <t>NEW-20</t>
        </is>
      </c>
      <c r="E15" s="6" t="inlineStr">
        <is>
          <t>Мелок</t>
        </is>
      </c>
      <c r="F15" s="9" t="inlineStr">
        <is>
          <t>Премиум</t>
        </is>
      </c>
      <c r="G15" s="7" t="n">
        <v>2490</v>
      </c>
      <c r="H15" s="17" t="inlineStr">
        <is>
          <t>нет</t>
        </is>
      </c>
      <c r="I15" s="6" t="inlineStr">
        <is>
          <t>снять фото, затем /add</t>
        </is>
      </c>
    </row>
    <row r="16" ht="30" customHeight="1">
      <c r="A16" s="15" t="n">
        <v>1</v>
      </c>
      <c r="B16" s="6" t="inlineStr">
        <is>
          <t>до 18 августа</t>
        </is>
      </c>
      <c r="C16" s="6" t="inlineStr">
        <is>
          <t>школьный блок и старт осени — пик спроса 25 августа – 1 сентября</t>
        </is>
      </c>
      <c r="D16" s="3" t="inlineStr">
        <is>
          <t>NEW-21</t>
        </is>
      </c>
      <c r="E16" s="6" t="inlineStr">
        <is>
          <t>Циркуль</t>
        </is>
      </c>
      <c r="F16" s="9" t="inlineStr">
        <is>
          <t>Премиум</t>
        </is>
      </c>
      <c r="G16" s="7" t="n">
        <v>2590</v>
      </c>
      <c r="H16" s="17" t="inlineStr">
        <is>
          <t>нет</t>
        </is>
      </c>
      <c r="I16" s="6" t="inlineStr">
        <is>
          <t>снять фото, затем /add</t>
        </is>
      </c>
    </row>
    <row r="17" ht="30" customHeight="1">
      <c r="A17" s="15" t="n">
        <v>1</v>
      </c>
      <c r="B17" s="6" t="inlineStr">
        <is>
          <t>до 18 августа</t>
        </is>
      </c>
      <c r="C17" s="6" t="inlineStr">
        <is>
          <t>школьный блок и старт осени — пик спроса 25 августа – 1 сентября</t>
        </is>
      </c>
      <c r="D17" s="3" t="inlineStr">
        <is>
          <t>NEW-23</t>
        </is>
      </c>
      <c r="E17" s="6" t="inlineStr">
        <is>
          <t>Сентябрь</t>
        </is>
      </c>
      <c r="F17" s="9" t="inlineStr">
        <is>
          <t>Премиум</t>
        </is>
      </c>
      <c r="G17" s="7" t="n">
        <v>2790</v>
      </c>
      <c r="H17" s="17" t="inlineStr">
        <is>
          <t>нет</t>
        </is>
      </c>
      <c r="I17" s="6" t="inlineStr">
        <is>
          <t>снять фото, затем /add</t>
        </is>
      </c>
    </row>
    <row r="18" ht="30" customHeight="1">
      <c r="A18" s="15" t="n">
        <v>1</v>
      </c>
      <c r="B18" s="6" t="inlineStr">
        <is>
          <t>до 18 августа</t>
        </is>
      </c>
      <c r="C18" s="6" t="inlineStr">
        <is>
          <t>школьный блок и старт осени — пик спроса 25 августа – 1 сентября</t>
        </is>
      </c>
      <c r="D18" s="3" t="inlineStr">
        <is>
          <t>NEW-24</t>
        </is>
      </c>
      <c r="E18" s="6" t="inlineStr">
        <is>
          <t>Астра</t>
        </is>
      </c>
      <c r="F18" s="9" t="inlineStr">
        <is>
          <t>Премиум</t>
        </is>
      </c>
      <c r="G18" s="7" t="n">
        <v>2890</v>
      </c>
      <c r="H18" s="9" t="inlineStr">
        <is>
          <t>да</t>
        </is>
      </c>
      <c r="I18" s="6" t="inlineStr">
        <is>
          <t>фото есть — завести через /add</t>
        </is>
      </c>
    </row>
    <row r="19" ht="30" customHeight="1">
      <c r="A19" s="15" t="n">
        <v>1</v>
      </c>
      <c r="B19" s="6" t="inlineStr">
        <is>
          <t>до 18 августа</t>
        </is>
      </c>
      <c r="C19" s="6" t="inlineStr">
        <is>
          <t>школьный блок и старт осени — пик спроса 25 августа – 1 сентября</t>
        </is>
      </c>
      <c r="D19" s="3" t="inlineStr">
        <is>
          <t>NEW-27</t>
        </is>
      </c>
      <c r="E19" s="6" t="inlineStr">
        <is>
          <t>Инжир</t>
        </is>
      </c>
      <c r="F19" s="9" t="inlineStr">
        <is>
          <t>Премиум</t>
        </is>
      </c>
      <c r="G19" s="7" t="n">
        <v>3490</v>
      </c>
      <c r="H19" s="9" t="inlineStr">
        <is>
          <t>да</t>
        </is>
      </c>
      <c r="I19" s="6" t="inlineStr">
        <is>
          <t>фото есть — завести через /add</t>
        </is>
      </c>
    </row>
    <row r="20" ht="30" customHeight="1">
      <c r="A20" s="15" t="n">
        <v>1</v>
      </c>
      <c r="B20" s="6" t="inlineStr">
        <is>
          <t>до 18 августа</t>
        </is>
      </c>
      <c r="C20" s="6" t="inlineStr">
        <is>
          <t>школьный блок и старт осени — пик спроса 25 августа – 1 сентября</t>
        </is>
      </c>
      <c r="D20" s="3" t="inlineStr">
        <is>
          <t>PRD-04</t>
        </is>
      </c>
      <c r="E20" s="6" t="inlineStr">
        <is>
          <t>Солнце</t>
        </is>
      </c>
      <c r="F20" s="9" t="inlineStr">
        <is>
          <t>Премиум</t>
        </is>
      </c>
      <c r="G20" s="7" t="n">
        <v>3690</v>
      </c>
      <c r="H20" s="9" t="inlineStr">
        <is>
          <t>да</t>
        </is>
      </c>
      <c r="I20" s="6" t="inlineStr">
        <is>
          <t>уже в боте — обновить цену через /edit</t>
        </is>
      </c>
    </row>
    <row r="21" ht="30" customHeight="1">
      <c r="A21" s="15" t="n">
        <v>1</v>
      </c>
      <c r="B21" s="6" t="inlineStr">
        <is>
          <t>до 18 августа</t>
        </is>
      </c>
      <c r="C21" s="6" t="inlineStr">
        <is>
          <t>школьный блок и старт осени — пик спроса 25 августа – 1 сентября</t>
        </is>
      </c>
      <c r="D21" s="3" t="inlineStr">
        <is>
          <t>NEW-30</t>
        </is>
      </c>
      <c r="E21" s="6" t="inlineStr">
        <is>
          <t>Сидр</t>
        </is>
      </c>
      <c r="F21" s="9" t="inlineStr">
        <is>
          <t>Премиум</t>
        </is>
      </c>
      <c r="G21" s="7" t="n">
        <v>4190</v>
      </c>
      <c r="H21" s="9" t="inlineStr">
        <is>
          <t>да</t>
        </is>
      </c>
      <c r="I21" s="6" t="inlineStr">
        <is>
          <t>фото есть — завести через /add</t>
        </is>
      </c>
    </row>
    <row r="22" ht="30" customHeight="1">
      <c r="A22" s="15" t="n">
        <v>1</v>
      </c>
      <c r="B22" s="6" t="inlineStr">
        <is>
          <t>до 18 августа</t>
        </is>
      </c>
      <c r="C22" s="6" t="inlineStr">
        <is>
          <t>школьный блок и старт осени — пик спроса 25 августа – 1 сентября</t>
        </is>
      </c>
      <c r="D22" s="3" t="inlineStr">
        <is>
          <t>PRD-07</t>
        </is>
      </c>
      <c r="E22" s="6" t="inlineStr">
        <is>
          <t>Густой август</t>
        </is>
      </c>
      <c r="F22" s="9" t="inlineStr">
        <is>
          <t>Премиум</t>
        </is>
      </c>
      <c r="G22" s="7" t="n">
        <v>4490</v>
      </c>
      <c r="H22" s="9" t="inlineStr">
        <is>
          <t>да</t>
        </is>
      </c>
      <c r="I22" s="6" t="inlineStr">
        <is>
          <t>уже в боте — обновить цену через /edit</t>
        </is>
      </c>
    </row>
    <row r="23" ht="30" customHeight="1">
      <c r="A23" s="15" t="n">
        <v>1</v>
      </c>
      <c r="B23" s="6" t="inlineStr">
        <is>
          <t>до 18 августа</t>
        </is>
      </c>
      <c r="C23" s="6" t="inlineStr">
        <is>
          <t>школьный блок и старт осени — пик спроса 25 августа – 1 сентября</t>
        </is>
      </c>
      <c r="D23" s="3" t="inlineStr">
        <is>
          <t>NEW-31</t>
        </is>
      </c>
      <c r="E23" s="6" t="inlineStr">
        <is>
          <t>Янтарь</t>
        </is>
      </c>
      <c r="F23" s="9" t="inlineStr">
        <is>
          <t>Премиум</t>
        </is>
      </c>
      <c r="G23" s="7" t="n">
        <v>4790</v>
      </c>
      <c r="H23" s="17" t="inlineStr">
        <is>
          <t>нет</t>
        </is>
      </c>
      <c r="I23" s="6" t="inlineStr">
        <is>
          <t>снять фото, затем /add</t>
        </is>
      </c>
    </row>
    <row r="24" ht="30" customHeight="1">
      <c r="A24" s="15" t="n">
        <v>1</v>
      </c>
      <c r="B24" s="6" t="inlineStr">
        <is>
          <t>до 18 августа</t>
        </is>
      </c>
      <c r="C24" s="6" t="inlineStr">
        <is>
          <t>школьный блок и старт осени — пик спроса 25 августа – 1 сентября</t>
        </is>
      </c>
      <c r="D24" s="3" t="inlineStr">
        <is>
          <t>NEW-36</t>
        </is>
      </c>
      <c r="E24" s="6" t="inlineStr">
        <is>
          <t>Клён</t>
        </is>
      </c>
      <c r="F24" s="9" t="inlineStr">
        <is>
          <t>Люкс</t>
        </is>
      </c>
      <c r="G24" s="7" t="n">
        <v>6990</v>
      </c>
      <c r="H24" s="9" t="inlineStr">
        <is>
          <t>да</t>
        </is>
      </c>
      <c r="I24" s="6" t="inlineStr">
        <is>
          <t>фото есть — завести через /add</t>
        </is>
      </c>
    </row>
    <row r="25" ht="30" customHeight="1">
      <c r="A25" s="15" t="n">
        <v>1</v>
      </c>
      <c r="B25" s="6" t="inlineStr">
        <is>
          <t>до 18 августа</t>
        </is>
      </c>
      <c r="C25" s="6" t="inlineStr">
        <is>
          <t>школьный блок и старт осени — пик спроса 25 августа – 1 сентября</t>
        </is>
      </c>
      <c r="D25" s="3" t="inlineStr">
        <is>
          <t>NEW-39</t>
        </is>
      </c>
      <c r="E25" s="6" t="inlineStr">
        <is>
          <t>Рябина</t>
        </is>
      </c>
      <c r="F25" s="9" t="inlineStr">
        <is>
          <t>Люкс</t>
        </is>
      </c>
      <c r="G25" s="7" t="n">
        <v>7790</v>
      </c>
      <c r="H25" s="9" t="inlineStr">
        <is>
          <t>да</t>
        </is>
      </c>
      <c r="I25" s="6" t="inlineStr">
        <is>
          <t>фото есть — завести через /add</t>
        </is>
      </c>
    </row>
    <row r="26" ht="30" customHeight="1">
      <c r="A26" s="11" t="n">
        <v>2</v>
      </c>
      <c r="B26" s="6" t="inlineStr">
        <is>
          <t>19–25 августа</t>
        </is>
      </c>
      <c r="C26" s="6" t="inlineStr">
        <is>
          <t>свадебный сезон и осенний люкс</t>
        </is>
      </c>
      <c r="D26" s="3" t="inlineStr">
        <is>
          <t>NEW-29</t>
        </is>
      </c>
      <c r="E26" s="6" t="inlineStr">
        <is>
          <t>Снежный Мел</t>
        </is>
      </c>
      <c r="F26" s="9" t="inlineStr">
        <is>
          <t>Премиум</t>
        </is>
      </c>
      <c r="G26" s="7" t="n">
        <v>3990</v>
      </c>
      <c r="H26" s="9" t="inlineStr">
        <is>
          <t>да</t>
        </is>
      </c>
      <c r="I26" s="6" t="inlineStr">
        <is>
          <t>фото есть — завести через /add</t>
        </is>
      </c>
    </row>
    <row r="27" ht="30" customHeight="1">
      <c r="A27" s="11" t="n">
        <v>2</v>
      </c>
      <c r="B27" s="6" t="inlineStr">
        <is>
          <t>19–25 августа</t>
        </is>
      </c>
      <c r="C27" s="6" t="inlineStr">
        <is>
          <t>свадебный сезон и осенний люкс</t>
        </is>
      </c>
      <c r="D27" s="3" t="inlineStr">
        <is>
          <t>PRD-06</t>
        </is>
      </c>
      <c r="E27" s="6" t="inlineStr">
        <is>
          <t>Пионовидный сад</t>
        </is>
      </c>
      <c r="F27" s="9" t="inlineStr">
        <is>
          <t>Премиум</t>
        </is>
      </c>
      <c r="G27" s="7" t="n">
        <v>4290</v>
      </c>
      <c r="H27" s="9" t="inlineStr">
        <is>
          <t>да</t>
        </is>
      </c>
      <c r="I27" s="6" t="inlineStr">
        <is>
          <t>уже в боте</t>
        </is>
      </c>
    </row>
    <row r="28" ht="30" customHeight="1">
      <c r="A28" s="11" t="n">
        <v>2</v>
      </c>
      <c r="B28" s="6" t="inlineStr">
        <is>
          <t>19–25 августа</t>
        </is>
      </c>
      <c r="C28" s="6" t="inlineStr">
        <is>
          <t>свадебный сезон и осенний люкс</t>
        </is>
      </c>
      <c r="D28" s="3" t="inlineStr">
        <is>
          <t>NEW-32</t>
        </is>
      </c>
      <c r="E28" s="6" t="inlineStr">
        <is>
          <t>Сливочный Крем</t>
        </is>
      </c>
      <c r="F28" s="9" t="inlineStr">
        <is>
          <t>Премиум</t>
        </is>
      </c>
      <c r="G28" s="7" t="n">
        <v>4890</v>
      </c>
      <c r="H28" s="9" t="inlineStr">
        <is>
          <t>да</t>
        </is>
      </c>
      <c r="I28" s="6" t="inlineStr">
        <is>
          <t>фото есть — завести через /add</t>
        </is>
      </c>
    </row>
    <row r="29" ht="30" customHeight="1">
      <c r="A29" s="11" t="n">
        <v>2</v>
      </c>
      <c r="B29" s="6" t="inlineStr">
        <is>
          <t>19–25 августа</t>
        </is>
      </c>
      <c r="C29" s="6" t="inlineStr">
        <is>
          <t>свадебный сезон и осенний люкс</t>
        </is>
      </c>
      <c r="D29" s="3" t="inlineStr">
        <is>
          <t>PRD-10</t>
        </is>
      </c>
      <c r="E29" s="6" t="inlineStr">
        <is>
          <t>Гортензия Jumbo</t>
        </is>
      </c>
      <c r="F29" s="9" t="inlineStr">
        <is>
          <t>Люкс</t>
        </is>
      </c>
      <c r="G29" s="7" t="n">
        <v>5490</v>
      </c>
      <c r="H29" s="9" t="inlineStr">
        <is>
          <t>да</t>
        </is>
      </c>
      <c r="I29" s="6" t="inlineStr">
        <is>
          <t>уже в боте</t>
        </is>
      </c>
    </row>
    <row r="30" ht="30" customHeight="1">
      <c r="A30" s="11" t="n">
        <v>2</v>
      </c>
      <c r="B30" s="6" t="inlineStr">
        <is>
          <t>19–25 августа</t>
        </is>
      </c>
      <c r="C30" s="6" t="inlineStr">
        <is>
          <t>свадебный сезон и осенний люкс</t>
        </is>
      </c>
      <c r="D30" s="3" t="inlineStr">
        <is>
          <t>PRD-11</t>
        </is>
      </c>
      <c r="E30" s="6" t="inlineStr">
        <is>
          <t>Облако августа</t>
        </is>
      </c>
      <c r="F30" s="9" t="inlineStr">
        <is>
          <t>Люкс</t>
        </is>
      </c>
      <c r="G30" s="7" t="n">
        <v>5490</v>
      </c>
      <c r="H30" s="9" t="inlineStr">
        <is>
          <t>да</t>
        </is>
      </c>
      <c r="I30" s="6" t="inlineStr">
        <is>
          <t>уже в боте</t>
        </is>
      </c>
    </row>
    <row r="31" ht="30" customHeight="1">
      <c r="A31" s="11" t="n">
        <v>2</v>
      </c>
      <c r="B31" s="6" t="inlineStr">
        <is>
          <t>19–25 августа</t>
        </is>
      </c>
      <c r="C31" s="6" t="inlineStr">
        <is>
          <t>свадебный сезон и осенний люкс</t>
        </is>
      </c>
      <c r="D31" s="3" t="inlineStr">
        <is>
          <t>PRD-12</t>
        </is>
      </c>
      <c r="E31" s="6" t="inlineStr">
        <is>
          <t>Французский сад</t>
        </is>
      </c>
      <c r="F31" s="9" t="inlineStr">
        <is>
          <t>Люкс</t>
        </is>
      </c>
      <c r="G31" s="7" t="n">
        <v>5990</v>
      </c>
      <c r="H31" s="9" t="inlineStr">
        <is>
          <t>да</t>
        </is>
      </c>
      <c r="I31" s="6" t="inlineStr">
        <is>
          <t>уже в боте</t>
        </is>
      </c>
    </row>
    <row r="32" ht="30" customHeight="1">
      <c r="A32" s="11" t="n">
        <v>2</v>
      </c>
      <c r="B32" s="6" t="inlineStr">
        <is>
          <t>19–25 августа</t>
        </is>
      </c>
      <c r="C32" s="6" t="inlineStr">
        <is>
          <t>свадебный сезон и осенний люкс</t>
        </is>
      </c>
      <c r="D32" s="3" t="inlineStr">
        <is>
          <t>NEW-37</t>
        </is>
      </c>
      <c r="E32" s="6" t="inlineStr">
        <is>
          <t>Нежность Кустовая</t>
        </is>
      </c>
      <c r="F32" s="9" t="inlineStr">
        <is>
          <t>Люкс</t>
        </is>
      </c>
      <c r="G32" s="7" t="n">
        <v>6990</v>
      </c>
      <c r="H32" s="9" t="inlineStr">
        <is>
          <t>да</t>
        </is>
      </c>
      <c r="I32" s="6" t="inlineStr">
        <is>
          <t>фото есть — завести через /add</t>
        </is>
      </c>
    </row>
    <row r="33" ht="30" customHeight="1">
      <c r="A33" s="11" t="n">
        <v>2</v>
      </c>
      <c r="B33" s="6" t="inlineStr">
        <is>
          <t>19–25 августа</t>
        </is>
      </c>
      <c r="C33" s="6" t="inlineStr">
        <is>
          <t>свадебный сезон и осенний люкс</t>
        </is>
      </c>
      <c r="D33" s="3" t="inlineStr">
        <is>
          <t>PRD-13</t>
        </is>
      </c>
      <c r="E33" s="6" t="inlineStr">
        <is>
          <t>Silva Pink XL</t>
        </is>
      </c>
      <c r="F33" s="9" t="inlineStr">
        <is>
          <t>Люкс</t>
        </is>
      </c>
      <c r="G33" s="7" t="n">
        <v>7990</v>
      </c>
      <c r="H33" s="9" t="inlineStr">
        <is>
          <t>да</t>
        </is>
      </c>
      <c r="I33" s="6" t="inlineStr">
        <is>
          <t>уже в боте</t>
        </is>
      </c>
    </row>
    <row r="34" ht="30" customHeight="1">
      <c r="A34" s="11" t="n">
        <v>2</v>
      </c>
      <c r="B34" s="6" t="inlineStr">
        <is>
          <t>19–25 августа</t>
        </is>
      </c>
      <c r="C34" s="6" t="inlineStr">
        <is>
          <t>свадебный сезон и осенний люкс</t>
        </is>
      </c>
      <c r="D34" s="3" t="inlineStr">
        <is>
          <t>PRD-14</t>
        </is>
      </c>
      <c r="E34" s="6" t="inlineStr">
        <is>
          <t>Белое облако</t>
        </is>
      </c>
      <c r="F34" s="9" t="inlineStr">
        <is>
          <t>Люкс</t>
        </is>
      </c>
      <c r="G34" s="7" t="n">
        <v>9590</v>
      </c>
      <c r="H34" s="9" t="inlineStr">
        <is>
          <t>да</t>
        </is>
      </c>
      <c r="I34" s="6" t="inlineStr">
        <is>
          <t>уже в боте — обновить цену через /edit</t>
        </is>
      </c>
    </row>
    <row r="35" ht="30" customHeight="1">
      <c r="A35" s="11" t="n">
        <v>2</v>
      </c>
      <c r="B35" s="6" t="inlineStr">
        <is>
          <t>19–25 августа</t>
        </is>
      </c>
      <c r="C35" s="6" t="inlineStr">
        <is>
          <t>свадебный сезон и осенний люкс</t>
        </is>
      </c>
      <c r="D35" s="3" t="inlineStr">
        <is>
          <t>NEW-46</t>
        </is>
      </c>
      <c r="E35" s="6" t="inlineStr">
        <is>
          <t>Очаг 51</t>
        </is>
      </c>
      <c r="F35" s="9" t="inlineStr">
        <is>
          <t>ВАУ</t>
        </is>
      </c>
      <c r="G35" s="7" t="n">
        <v>16990</v>
      </c>
      <c r="H35" s="9" t="inlineStr">
        <is>
          <t>да</t>
        </is>
      </c>
      <c r="I35" s="6" t="inlineStr">
        <is>
          <t>фото есть — завести через /add</t>
        </is>
      </c>
    </row>
    <row r="36" ht="30" customHeight="1">
      <c r="A36" s="5" t="n">
        <v>3</v>
      </c>
      <c r="B36" s="6" t="inlineStr">
        <is>
          <t>со 2 сентября</t>
        </is>
      </c>
      <c r="C36" s="6" t="inlineStr">
        <is>
          <t>круглогодичная база — вне школьного пика</t>
        </is>
      </c>
      <c r="D36" s="3" t="inlineStr">
        <is>
          <t>NEW-01</t>
        </is>
      </c>
      <c r="E36" s="6" t="inlineStr">
        <is>
          <t>Мёд</t>
        </is>
      </c>
      <c r="F36" s="9" t="inlineStr">
        <is>
          <t>Стандарт</t>
        </is>
      </c>
      <c r="G36" s="7" t="n">
        <v>1090</v>
      </c>
      <c r="H36" s="9" t="inlineStr">
        <is>
          <t>да</t>
        </is>
      </c>
      <c r="I36" s="6" t="inlineStr">
        <is>
          <t>фото есть — завести через /add</t>
        </is>
      </c>
    </row>
    <row r="37" ht="30" customHeight="1">
      <c r="A37" s="5" t="n">
        <v>3</v>
      </c>
      <c r="B37" s="6" t="inlineStr">
        <is>
          <t>со 2 сентября</t>
        </is>
      </c>
      <c r="C37" s="6" t="inlineStr">
        <is>
          <t>круглогодичная база — вне школьного пика</t>
        </is>
      </c>
      <c r="D37" s="3" t="inlineStr">
        <is>
          <t>NEW-02</t>
        </is>
      </c>
      <c r="E37" s="6" t="inlineStr">
        <is>
          <t>Орех</t>
        </is>
      </c>
      <c r="F37" s="9" t="inlineStr">
        <is>
          <t>Стандарт</t>
        </is>
      </c>
      <c r="G37" s="7" t="n">
        <v>1190</v>
      </c>
      <c r="H37" s="9" t="inlineStr">
        <is>
          <t>да</t>
        </is>
      </c>
      <c r="I37" s="6" t="inlineStr">
        <is>
          <t>фото есть — завести через /add</t>
        </is>
      </c>
    </row>
    <row r="38" ht="30" customHeight="1">
      <c r="A38" s="5" t="n">
        <v>3</v>
      </c>
      <c r="B38" s="6" t="inlineStr">
        <is>
          <t>со 2 сентября</t>
        </is>
      </c>
      <c r="C38" s="6" t="inlineStr">
        <is>
          <t>круглогодичная база — вне школьного пика</t>
        </is>
      </c>
      <c r="D38" s="3" t="inlineStr">
        <is>
          <t>NEW-04</t>
        </is>
      </c>
      <c r="E38" s="6" t="inlineStr">
        <is>
          <t>Воздух</t>
        </is>
      </c>
      <c r="F38" s="9" t="inlineStr">
        <is>
          <t>Стандарт</t>
        </is>
      </c>
      <c r="G38" s="7" t="n">
        <v>1290</v>
      </c>
      <c r="H38" s="17" t="inlineStr">
        <is>
          <t>нет</t>
        </is>
      </c>
      <c r="I38" s="6" t="inlineStr">
        <is>
          <t>снять фото, затем /add</t>
        </is>
      </c>
    </row>
    <row r="39" ht="30" customHeight="1">
      <c r="A39" s="5" t="n">
        <v>3</v>
      </c>
      <c r="B39" s="6" t="inlineStr">
        <is>
          <t>со 2 сентября</t>
        </is>
      </c>
      <c r="C39" s="6" t="inlineStr">
        <is>
          <t>круглогодичная база — вне школьного пика</t>
        </is>
      </c>
      <c r="D39" s="3" t="inlineStr">
        <is>
          <t>NEW-05</t>
        </is>
      </c>
      <c r="E39" s="6" t="inlineStr">
        <is>
          <t>Клубничный Мусс</t>
        </is>
      </c>
      <c r="F39" s="9" t="inlineStr">
        <is>
          <t>Стандарт</t>
        </is>
      </c>
      <c r="G39" s="7" t="n">
        <v>1490</v>
      </c>
      <c r="H39" s="9" t="inlineStr">
        <is>
          <t>да</t>
        </is>
      </c>
      <c r="I39" s="6" t="inlineStr">
        <is>
          <t>фото есть — завести через /add</t>
        </is>
      </c>
    </row>
    <row r="40" ht="30" customHeight="1">
      <c r="A40" s="5" t="n">
        <v>3</v>
      </c>
      <c r="B40" s="6" t="inlineStr">
        <is>
          <t>со 2 сентября</t>
        </is>
      </c>
      <c r="C40" s="6" t="inlineStr">
        <is>
          <t>круглогодичная база — вне школьного пика</t>
        </is>
      </c>
      <c r="D40" s="3" t="inlineStr">
        <is>
          <t>PRD-01</t>
        </is>
      </c>
      <c r="E40" s="6" t="inlineStr">
        <is>
          <t>Бакарди</t>
        </is>
      </c>
      <c r="F40" s="9" t="inlineStr">
        <is>
          <t>Стандарт</t>
        </is>
      </c>
      <c r="G40" s="7" t="n">
        <v>1590</v>
      </c>
      <c r="H40" s="9" t="inlineStr">
        <is>
          <t>да</t>
        </is>
      </c>
      <c r="I40" s="6" t="inlineStr">
        <is>
          <t>уже в боте</t>
        </is>
      </c>
    </row>
    <row r="41" ht="30" customHeight="1">
      <c r="A41" s="5" t="n">
        <v>3</v>
      </c>
      <c r="B41" s="6" t="inlineStr">
        <is>
          <t>со 2 сентября</t>
        </is>
      </c>
      <c r="C41" s="6" t="inlineStr">
        <is>
          <t>круглогодичная база — вне школьного пика</t>
        </is>
      </c>
      <c r="D41" s="3" t="inlineStr">
        <is>
          <t>NEW-07</t>
        </is>
      </c>
      <c r="E41" s="6" t="inlineStr">
        <is>
          <t>Мокко</t>
        </is>
      </c>
      <c r="F41" s="9" t="inlineStr">
        <is>
          <t>Стандарт</t>
        </is>
      </c>
      <c r="G41" s="7" t="n">
        <v>1690</v>
      </c>
      <c r="H41" s="9" t="inlineStr">
        <is>
          <t>да</t>
        </is>
      </c>
      <c r="I41" s="6" t="inlineStr">
        <is>
          <t>фото есть — завести через /add</t>
        </is>
      </c>
    </row>
    <row r="42" ht="30" customHeight="1">
      <c r="A42" s="5" t="n">
        <v>3</v>
      </c>
      <c r="B42" s="6" t="inlineStr">
        <is>
          <t>со 2 сентября</t>
        </is>
      </c>
      <c r="C42" s="6" t="inlineStr">
        <is>
          <t>круглогодичная база — вне школьного пика</t>
        </is>
      </c>
      <c r="D42" s="3" t="inlineStr">
        <is>
          <t>PRD-02</t>
        </is>
      </c>
      <c r="E42" s="6" t="inlineStr">
        <is>
          <t>Шар</t>
        </is>
      </c>
      <c r="F42" s="9" t="inlineStr">
        <is>
          <t>Стандарт</t>
        </is>
      </c>
      <c r="G42" s="7" t="n">
        <v>1790</v>
      </c>
      <c r="H42" s="9" t="inlineStr">
        <is>
          <t>да</t>
        </is>
      </c>
      <c r="I42" s="6" t="inlineStr">
        <is>
          <t>уже в боте</t>
        </is>
      </c>
    </row>
    <row r="43" ht="30" customHeight="1">
      <c r="A43" s="5" t="n">
        <v>3</v>
      </c>
      <c r="B43" s="6" t="inlineStr">
        <is>
          <t>со 2 сентября</t>
        </is>
      </c>
      <c r="C43" s="6" t="inlineStr">
        <is>
          <t>круглогодичная база — вне школьного пика</t>
        </is>
      </c>
      <c r="D43" s="3" t="inlineStr">
        <is>
          <t>NEW-08</t>
        </is>
      </c>
      <c r="E43" s="6" t="inlineStr">
        <is>
          <t>Фарфор</t>
        </is>
      </c>
      <c r="F43" s="9" t="inlineStr">
        <is>
          <t>Стандарт</t>
        </is>
      </c>
      <c r="G43" s="7" t="n">
        <v>1890</v>
      </c>
      <c r="H43" s="9" t="inlineStr">
        <is>
          <t>да</t>
        </is>
      </c>
      <c r="I43" s="6" t="inlineStr">
        <is>
          <t>фото есть — завести через /add</t>
        </is>
      </c>
    </row>
    <row r="44" ht="30" customHeight="1">
      <c r="A44" s="5" t="n">
        <v>3</v>
      </c>
      <c r="B44" s="6" t="inlineStr">
        <is>
          <t>со 2 сентября</t>
        </is>
      </c>
      <c r="C44" s="6" t="inlineStr">
        <is>
          <t>круглогодичная база — вне школьного пика</t>
        </is>
      </c>
      <c r="D44" s="3" t="inlineStr">
        <is>
          <t>PRD-03</t>
        </is>
      </c>
      <c r="E44" s="6" t="inlineStr">
        <is>
          <t>Лёгкий</t>
        </is>
      </c>
      <c r="F44" s="9" t="inlineStr">
        <is>
          <t>Стандарт</t>
        </is>
      </c>
      <c r="G44" s="7" t="n">
        <v>1990</v>
      </c>
      <c r="H44" s="9" t="inlineStr">
        <is>
          <t>да</t>
        </is>
      </c>
      <c r="I44" s="6" t="inlineStr">
        <is>
          <t>уже в боте</t>
        </is>
      </c>
    </row>
    <row r="45" ht="30" customHeight="1">
      <c r="A45" s="5" t="n">
        <v>3</v>
      </c>
      <c r="B45" s="6" t="inlineStr">
        <is>
          <t>со 2 сентября</t>
        </is>
      </c>
      <c r="C45" s="6" t="inlineStr">
        <is>
          <t>круглогодичная база — вне школьного пика</t>
        </is>
      </c>
      <c r="D45" s="3" t="inlineStr">
        <is>
          <t>NEW-12</t>
        </is>
      </c>
      <c r="E45" s="6" t="inlineStr">
        <is>
          <t>Рубиновый Закат</t>
        </is>
      </c>
      <c r="F45" s="9" t="inlineStr">
        <is>
          <t>Стандарт</t>
        </is>
      </c>
      <c r="G45" s="7" t="n">
        <v>1990</v>
      </c>
      <c r="H45" s="9" t="inlineStr">
        <is>
          <t>да</t>
        </is>
      </c>
      <c r="I45" s="6" t="inlineStr">
        <is>
          <t>фото есть — завести через /add</t>
        </is>
      </c>
    </row>
    <row r="46" ht="30" customHeight="1">
      <c r="A46" s="5" t="n">
        <v>3</v>
      </c>
      <c r="B46" s="6" t="inlineStr">
        <is>
          <t>со 2 сентября</t>
        </is>
      </c>
      <c r="C46" s="6" t="inlineStr">
        <is>
          <t>круглогодичная база — вне школьного пика</t>
        </is>
      </c>
      <c r="D46" s="3" t="inlineStr">
        <is>
          <t>NEW-22</t>
        </is>
      </c>
      <c r="E46" s="6" t="inlineStr">
        <is>
          <t>Эустома Мусс</t>
        </is>
      </c>
      <c r="F46" s="9" t="inlineStr">
        <is>
          <t>Премиум</t>
        </is>
      </c>
      <c r="G46" s="7" t="n">
        <v>2690</v>
      </c>
      <c r="H46" s="9" t="inlineStr">
        <is>
          <t>да</t>
        </is>
      </c>
      <c r="I46" s="6" t="inlineStr">
        <is>
          <t>фото есть — завести через /add</t>
        </is>
      </c>
    </row>
    <row r="47" ht="30" customHeight="1">
      <c r="A47" s="5" t="n">
        <v>3</v>
      </c>
      <c r="B47" s="6" t="inlineStr">
        <is>
          <t>со 2 сентября</t>
        </is>
      </c>
      <c r="C47" s="6" t="inlineStr">
        <is>
          <t>круглогодичная база — вне школьного пика</t>
        </is>
      </c>
      <c r="D47" s="3" t="inlineStr">
        <is>
          <t>NEW-25</t>
        </is>
      </c>
      <c r="E47" s="6" t="inlineStr">
        <is>
          <t>Специя</t>
        </is>
      </c>
      <c r="F47" s="9" t="inlineStr">
        <is>
          <t>Премиум</t>
        </is>
      </c>
      <c r="G47" s="7" t="n">
        <v>2990</v>
      </c>
      <c r="H47" s="9" t="inlineStr">
        <is>
          <t>да</t>
        </is>
      </c>
      <c r="I47" s="6" t="inlineStr">
        <is>
          <t>фото есть — завести через /add</t>
        </is>
      </c>
    </row>
    <row r="48" ht="30" customHeight="1">
      <c r="A48" s="5" t="n">
        <v>3</v>
      </c>
      <c r="B48" s="6" t="inlineStr">
        <is>
          <t>со 2 сентября</t>
        </is>
      </c>
      <c r="C48" s="6" t="inlineStr">
        <is>
          <t>круглогодичная база — вне школьного пика</t>
        </is>
      </c>
      <c r="D48" s="3" t="inlineStr">
        <is>
          <t>NEW-26</t>
        </is>
      </c>
      <c r="E48" s="6" t="inlineStr">
        <is>
          <t>Тоффи</t>
        </is>
      </c>
      <c r="F48" s="9" t="inlineStr">
        <is>
          <t>Премиум</t>
        </is>
      </c>
      <c r="G48" s="7" t="n">
        <v>3290</v>
      </c>
      <c r="H48" s="9" t="inlineStr">
        <is>
          <t>да</t>
        </is>
      </c>
      <c r="I48" s="6" t="inlineStr">
        <is>
          <t>фото есть — завести через /add</t>
        </is>
      </c>
    </row>
    <row r="49" ht="30" customHeight="1">
      <c r="A49" s="5" t="n">
        <v>3</v>
      </c>
      <c r="B49" s="6" t="inlineStr">
        <is>
          <t>со 2 сентября</t>
        </is>
      </c>
      <c r="C49" s="6" t="inlineStr">
        <is>
          <t>круглогодичная база — вне школьного пика</t>
        </is>
      </c>
      <c r="D49" s="3" t="inlineStr">
        <is>
          <t>NEW-28</t>
        </is>
      </c>
      <c r="E49" s="6" t="inlineStr">
        <is>
          <t>Кобальт</t>
        </is>
      </c>
      <c r="F49" s="9" t="inlineStr">
        <is>
          <t>Премиум</t>
        </is>
      </c>
      <c r="G49" s="7" t="n">
        <v>3490</v>
      </c>
      <c r="H49" s="9" t="inlineStr">
        <is>
          <t>да</t>
        </is>
      </c>
      <c r="I49" s="6" t="inlineStr">
        <is>
          <t>фото есть — завести через /add</t>
        </is>
      </c>
    </row>
    <row r="50" ht="30" customHeight="1">
      <c r="A50" s="5" t="n">
        <v>3</v>
      </c>
      <c r="B50" s="6" t="inlineStr">
        <is>
          <t>со 2 сентября</t>
        </is>
      </c>
      <c r="C50" s="6" t="inlineStr">
        <is>
          <t>круглогодичная база — вне школьного пика</t>
        </is>
      </c>
      <c r="D50" s="3" t="inlineStr">
        <is>
          <t>PRD-05</t>
        </is>
      </c>
      <c r="E50" s="6" t="inlineStr">
        <is>
          <t>Антуриум</t>
        </is>
      </c>
      <c r="F50" s="9" t="inlineStr">
        <is>
          <t>Премиум</t>
        </is>
      </c>
      <c r="G50" s="7" t="n">
        <v>3990</v>
      </c>
      <c r="H50" s="9" t="inlineStr">
        <is>
          <t>да</t>
        </is>
      </c>
      <c r="I50" s="6" t="inlineStr">
        <is>
          <t>уже в боте</t>
        </is>
      </c>
    </row>
    <row r="51" ht="30" customHeight="1">
      <c r="A51" s="5" t="n">
        <v>3</v>
      </c>
      <c r="B51" s="6" t="inlineStr">
        <is>
          <t>со 2 сентября</t>
        </is>
      </c>
      <c r="C51" s="6" t="inlineStr">
        <is>
          <t>круглогодичная база — вне школьного пика</t>
        </is>
      </c>
      <c r="D51" s="3" t="inlineStr">
        <is>
          <t>PRD-08</t>
        </is>
      </c>
      <c r="E51" s="6" t="inlineStr">
        <is>
          <t>Эустома</t>
        </is>
      </c>
      <c r="F51" s="9" t="inlineStr">
        <is>
          <t>Премиум</t>
        </is>
      </c>
      <c r="G51" s="7" t="n">
        <v>4690</v>
      </c>
      <c r="H51" s="9" t="inlineStr">
        <is>
          <t>да</t>
        </is>
      </c>
      <c r="I51" s="6" t="inlineStr">
        <is>
          <t>уже в боте — обновить цену через /edit</t>
        </is>
      </c>
    </row>
    <row r="52" ht="30" customHeight="1">
      <c r="A52" s="5" t="n">
        <v>3</v>
      </c>
      <c r="B52" s="6" t="inlineStr">
        <is>
          <t>со 2 сентября</t>
        </is>
      </c>
      <c r="C52" s="6" t="inlineStr">
        <is>
          <t>круглогодичная база — вне школьного пика</t>
        </is>
      </c>
      <c r="D52" s="3" t="inlineStr">
        <is>
          <t>PRD-09</t>
        </is>
      </c>
      <c r="E52" s="6" t="inlineStr">
        <is>
          <t>Тотал ред</t>
        </is>
      </c>
      <c r="F52" s="9" t="inlineStr">
        <is>
          <t>Премиум</t>
        </is>
      </c>
      <c r="G52" s="7" t="n">
        <v>4990</v>
      </c>
      <c r="H52" s="9" t="inlineStr">
        <is>
          <t>да</t>
        </is>
      </c>
      <c r="I52" s="6" t="inlineStr">
        <is>
          <t>уже в боте</t>
        </is>
      </c>
    </row>
    <row r="53" ht="30" customHeight="1">
      <c r="A53" s="5" t="n">
        <v>3</v>
      </c>
      <c r="B53" s="6" t="inlineStr">
        <is>
          <t>со 2 сентября</t>
        </is>
      </c>
      <c r="C53" s="6" t="inlineStr">
        <is>
          <t>круглогодичная база — вне школьного пика</t>
        </is>
      </c>
      <c r="D53" s="3" t="inlineStr">
        <is>
          <t>NEW-33</t>
        </is>
      </c>
      <c r="E53" s="6" t="inlineStr">
        <is>
          <t>Жемчуг</t>
        </is>
      </c>
      <c r="F53" s="9" t="inlineStr">
        <is>
          <t>Премиум</t>
        </is>
      </c>
      <c r="G53" s="7" t="n">
        <v>4990</v>
      </c>
      <c r="H53" s="9" t="inlineStr">
        <is>
          <t>да</t>
        </is>
      </c>
      <c r="I53" s="6" t="inlineStr">
        <is>
          <t>фото есть — завести через /add</t>
        </is>
      </c>
    </row>
    <row r="54" ht="30" customHeight="1">
      <c r="A54" s="5" t="n">
        <v>3</v>
      </c>
      <c r="B54" s="6" t="inlineStr">
        <is>
          <t>со 2 сентября</t>
        </is>
      </c>
      <c r="C54" s="6" t="inlineStr">
        <is>
          <t>круглогодичная база — вне школьного пика</t>
        </is>
      </c>
      <c r="D54" s="3" t="inlineStr">
        <is>
          <t>NEW-34</t>
        </is>
      </c>
      <c r="E54" s="6" t="inlineStr">
        <is>
          <t>Малахит</t>
        </is>
      </c>
      <c r="F54" s="9" t="inlineStr">
        <is>
          <t>Премиум</t>
        </is>
      </c>
      <c r="G54" s="7" t="n">
        <v>5290</v>
      </c>
      <c r="H54" s="9" t="inlineStr">
        <is>
          <t>да</t>
        </is>
      </c>
      <c r="I54" s="6" t="inlineStr">
        <is>
          <t>фото есть — завести через /add</t>
        </is>
      </c>
    </row>
    <row r="55" ht="30" customHeight="1">
      <c r="A55" s="5" t="n">
        <v>3</v>
      </c>
      <c r="B55" s="6" t="inlineStr">
        <is>
          <t>со 2 сентября</t>
        </is>
      </c>
      <c r="C55" s="6" t="inlineStr">
        <is>
          <t>круглогодичная база — вне школьного пика</t>
        </is>
      </c>
      <c r="D55" s="3" t="inlineStr">
        <is>
          <t>NEW-35</t>
        </is>
      </c>
      <c r="E55" s="6" t="inlineStr">
        <is>
          <t>Сироп</t>
        </is>
      </c>
      <c r="F55" s="9" t="inlineStr">
        <is>
          <t>Люкс</t>
        </is>
      </c>
      <c r="G55" s="7" t="n">
        <v>6490</v>
      </c>
      <c r="H55" s="17" t="inlineStr">
        <is>
          <t>нет</t>
        </is>
      </c>
      <c r="I55" s="6" t="inlineStr">
        <is>
          <t>снять фото, затем /add</t>
        </is>
      </c>
    </row>
    <row r="56" ht="30" customHeight="1">
      <c r="A56" s="5" t="n">
        <v>3</v>
      </c>
      <c r="B56" s="6" t="inlineStr">
        <is>
          <t>со 2 сентября</t>
        </is>
      </c>
      <c r="C56" s="6" t="inlineStr">
        <is>
          <t>круглогодичная база — вне школьного пика</t>
        </is>
      </c>
      <c r="D56" s="3" t="inlineStr">
        <is>
          <t>NEW-38</t>
        </is>
      </c>
      <c r="E56" s="6" t="inlineStr">
        <is>
          <t>Кашемир</t>
        </is>
      </c>
      <c r="F56" s="9" t="inlineStr">
        <is>
          <t>Люкс</t>
        </is>
      </c>
      <c r="G56" s="7" t="n">
        <v>7490</v>
      </c>
      <c r="H56" s="17" t="inlineStr">
        <is>
          <t>нет</t>
        </is>
      </c>
      <c r="I56" s="6" t="inlineStr">
        <is>
          <t>снять фото, затем /add</t>
        </is>
      </c>
    </row>
    <row r="57" ht="30" customHeight="1">
      <c r="A57" s="5" t="n">
        <v>3</v>
      </c>
      <c r="B57" s="6" t="inlineStr">
        <is>
          <t>со 2 сентября</t>
        </is>
      </c>
      <c r="C57" s="6" t="inlineStr">
        <is>
          <t>круглогодичная база — вне школьного пика</t>
        </is>
      </c>
      <c r="D57" s="3" t="inlineStr">
        <is>
          <t>NEW-40</t>
        </is>
      </c>
      <c r="E57" s="6" t="inlineStr">
        <is>
          <t>Пламя 101</t>
        </is>
      </c>
      <c r="F57" s="9" t="inlineStr">
        <is>
          <t>Люкс</t>
        </is>
      </c>
      <c r="G57" s="7" t="n">
        <v>7990</v>
      </c>
      <c r="H57" s="9" t="inlineStr">
        <is>
          <t>да</t>
        </is>
      </c>
      <c r="I57" s="6" t="inlineStr">
        <is>
          <t>фото есть — завести через /add</t>
        </is>
      </c>
    </row>
    <row r="58" ht="30" customHeight="1">
      <c r="A58" s="5" t="n">
        <v>3</v>
      </c>
      <c r="B58" s="6" t="inlineStr">
        <is>
          <t>со 2 сентября</t>
        </is>
      </c>
      <c r="C58" s="6" t="inlineStr">
        <is>
          <t>круглогодичная база — вне школьного пика</t>
        </is>
      </c>
      <c r="D58" s="3" t="inlineStr">
        <is>
          <t>NEW-41</t>
        </is>
      </c>
      <c r="E58" s="6" t="inlineStr">
        <is>
          <t>Оникс</t>
        </is>
      </c>
      <c r="F58" s="9" t="inlineStr">
        <is>
          <t>Люкс</t>
        </is>
      </c>
      <c r="G58" s="7" t="n">
        <v>8690</v>
      </c>
      <c r="H58" s="9" t="inlineStr">
        <is>
          <t>да</t>
        </is>
      </c>
      <c r="I58" s="6" t="inlineStr">
        <is>
          <t>фото есть — завести через /add</t>
        </is>
      </c>
    </row>
    <row r="59" ht="30" customHeight="1">
      <c r="A59" s="5" t="n">
        <v>3</v>
      </c>
      <c r="B59" s="6" t="inlineStr">
        <is>
          <t>со 2 сентября</t>
        </is>
      </c>
      <c r="C59" s="6" t="inlineStr">
        <is>
          <t>круглогодичная база — вне школьного пика</t>
        </is>
      </c>
      <c r="D59" s="3" t="inlineStr">
        <is>
          <t>NEW-42</t>
        </is>
      </c>
      <c r="E59" s="6" t="inlineStr">
        <is>
          <t>Эквадор Полюс</t>
        </is>
      </c>
      <c r="F59" s="9" t="inlineStr">
        <is>
          <t>Люкс</t>
        </is>
      </c>
      <c r="G59" s="7" t="n">
        <v>8990</v>
      </c>
      <c r="H59" s="17" t="inlineStr">
        <is>
          <t>нет</t>
        </is>
      </c>
      <c r="I59" s="6" t="inlineStr">
        <is>
          <t>снять фото, затем /add</t>
        </is>
      </c>
    </row>
    <row r="60" ht="30" customHeight="1">
      <c r="A60" s="5" t="n">
        <v>3</v>
      </c>
      <c r="B60" s="6" t="inlineStr">
        <is>
          <t>со 2 сентября</t>
        </is>
      </c>
      <c r="C60" s="6" t="inlineStr">
        <is>
          <t>круглогодичная база — вне школьного пика</t>
        </is>
      </c>
      <c r="D60" s="3" t="inlineStr">
        <is>
          <t>NEW-43</t>
        </is>
      </c>
      <c r="E60" s="6" t="inlineStr">
        <is>
          <t>Махагон</t>
        </is>
      </c>
      <c r="F60" s="9" t="inlineStr">
        <is>
          <t>ВАУ</t>
        </is>
      </c>
      <c r="G60" s="7" t="n">
        <v>11990</v>
      </c>
      <c r="H60" s="17" t="inlineStr">
        <is>
          <t>нет</t>
        </is>
      </c>
      <c r="I60" s="6" t="inlineStr">
        <is>
          <t>снять фото, затем /add</t>
        </is>
      </c>
    </row>
    <row r="61" ht="30" customHeight="1">
      <c r="A61" s="5" t="n">
        <v>3</v>
      </c>
      <c r="B61" s="6" t="inlineStr">
        <is>
          <t>со 2 сентября</t>
        </is>
      </c>
      <c r="C61" s="6" t="inlineStr">
        <is>
          <t>круглогодичная база — вне школьного пика</t>
        </is>
      </c>
      <c r="D61" s="3" t="inlineStr">
        <is>
          <t>NEW-44</t>
        </is>
      </c>
      <c r="E61" s="6" t="inlineStr">
        <is>
          <t>Богема</t>
        </is>
      </c>
      <c r="F61" s="9" t="inlineStr">
        <is>
          <t>ВАУ</t>
        </is>
      </c>
      <c r="G61" s="7" t="n">
        <v>14490</v>
      </c>
      <c r="H61" s="17" t="inlineStr">
        <is>
          <t>нет</t>
        </is>
      </c>
      <c r="I61" s="6" t="inlineStr">
        <is>
          <t>снять фото, затем /add</t>
        </is>
      </c>
    </row>
    <row r="62" ht="30" customHeight="1">
      <c r="A62" s="5" t="n">
        <v>3</v>
      </c>
      <c r="B62" s="6" t="inlineStr">
        <is>
          <t>со 2 сентября</t>
        </is>
      </c>
      <c r="C62" s="6" t="inlineStr">
        <is>
          <t>круглогодичная база — вне школьного пика</t>
        </is>
      </c>
      <c r="D62" s="3" t="inlineStr">
        <is>
          <t>NEW-45</t>
        </is>
      </c>
      <c r="E62" s="6" t="inlineStr">
        <is>
          <t>Корона 101</t>
        </is>
      </c>
      <c r="F62" s="9" t="inlineStr">
        <is>
          <t>ВАУ</t>
        </is>
      </c>
      <c r="G62" s="7" t="n">
        <v>14990</v>
      </c>
      <c r="H62" s="9" t="inlineStr">
        <is>
          <t>да</t>
        </is>
      </c>
      <c r="I62" s="6" t="inlineStr">
        <is>
          <t>фото есть — завести через /add</t>
        </is>
      </c>
    </row>
  </sheetData>
  <autoFilter ref="A2:I62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56" customWidth="1" min="3" max="3"/>
    <col width="14" customWidth="1" min="4" max="4"/>
    <col width="30" customWidth="1" min="6" max="6"/>
    <col width="14" customWidth="1" min="7" max="7"/>
  </cols>
  <sheetData>
    <row r="1" ht="32" customHeight="1">
      <c r="A1" s="2" t="inlineStr">
        <is>
          <t>Раздел</t>
        </is>
      </c>
      <c r="B1" s="2" t="inlineStr">
        <is>
          <t>Код</t>
        </is>
      </c>
      <c r="C1" s="2" t="inlineStr">
        <is>
          <t>Наименование</t>
        </is>
      </c>
      <c r="D1" s="2" t="inlineStr">
        <is>
          <t>Опт-цена, ₽</t>
        </is>
      </c>
      <c r="F1" s="18" t="inlineStr">
        <is>
          <t>Копия прайса оптовой базы «Прайс_07_07» — единственный источник закупочных цен.</t>
        </is>
      </c>
    </row>
    <row r="2">
      <c r="A2" s="19" t="inlineStr"/>
      <c r="B2" s="20" t="inlineStr">
        <is>
          <t>00366</t>
        </is>
      </c>
      <c r="C2" s="19" t="inlineStr">
        <is>
          <t>Антуриум срезка</t>
        </is>
      </c>
      <c r="D2" s="21" t="n">
        <v>250</v>
      </c>
      <c r="F2" s="18" t="inlineStr">
        <is>
          <t>На эти ячейки ссылаются формулы себестоимости в листах «Каталог» и «1 сентября».</t>
        </is>
      </c>
    </row>
    <row r="3">
      <c r="A3" s="19" t="inlineStr"/>
      <c r="B3" s="20" t="inlineStr">
        <is>
          <t>01043</t>
        </is>
      </c>
      <c r="C3" s="19" t="inlineStr">
        <is>
          <t>роза голландия одноголовая пионовидная***</t>
        </is>
      </c>
      <c r="D3" s="21" t="n">
        <v>129.9</v>
      </c>
    </row>
    <row r="4">
      <c r="A4" s="19" t="inlineStr"/>
      <c r="B4" s="20" t="inlineStr">
        <is>
          <t>01072</t>
        </is>
      </c>
      <c r="C4" s="19" t="inlineStr">
        <is>
          <t>Роза ГОРКУНОВ 40 см КУСТ***</t>
        </is>
      </c>
      <c r="D4" s="21" t="n">
        <v>129.9</v>
      </c>
      <c r="F4" s="22" t="inlineStr">
        <is>
          <t>Упаковка — тариф по числу стеблей</t>
        </is>
      </c>
    </row>
    <row r="5">
      <c r="A5" s="19" t="inlineStr"/>
      <c r="B5" s="20" t="inlineStr">
        <is>
          <t>01266</t>
        </is>
      </c>
      <c r="C5" s="19" t="inlineStr">
        <is>
          <t>виборнум Китай***</t>
        </is>
      </c>
      <c r="D5" s="21" t="n">
        <v>99.90000000000001</v>
      </c>
      <c r="F5" s="23" t="inlineStr">
        <is>
          <t>до 11 стеблей</t>
        </is>
      </c>
      <c r="G5" s="24" t="n">
        <v>90</v>
      </c>
    </row>
    <row r="6">
      <c r="A6" s="19" t="inlineStr"/>
      <c r="B6" s="20" t="inlineStr">
        <is>
          <t>01267</t>
        </is>
      </c>
      <c r="C6" s="19" t="inlineStr">
        <is>
          <t>оксипиталум Китай***</t>
        </is>
      </c>
      <c r="D6" s="21" t="n">
        <v>390</v>
      </c>
      <c r="F6" s="23" t="inlineStr">
        <is>
          <t>12–25 стеблей</t>
        </is>
      </c>
      <c r="G6" s="24" t="n">
        <v>140</v>
      </c>
    </row>
    <row r="7">
      <c r="A7" s="19" t="inlineStr"/>
      <c r="B7" s="20" t="inlineStr">
        <is>
          <t>01265</t>
        </is>
      </c>
      <c r="C7" s="19" t="inlineStr">
        <is>
          <t>маттиола Китай***</t>
        </is>
      </c>
      <c r="D7" s="21" t="n">
        <v>49.9</v>
      </c>
      <c r="F7" s="23" t="inlineStr">
        <is>
          <t>26–51 стебель</t>
        </is>
      </c>
      <c r="G7" s="24" t="n">
        <v>190</v>
      </c>
    </row>
    <row r="8">
      <c r="A8" s="19" t="inlineStr"/>
      <c r="B8" s="20" t="inlineStr">
        <is>
          <t>01288</t>
        </is>
      </c>
      <c r="C8" s="19" t="inlineStr">
        <is>
          <t>Вриезия</t>
        </is>
      </c>
      <c r="D8" s="21" t="n">
        <v>890</v>
      </c>
      <c r="F8" s="23" t="inlineStr">
        <is>
          <t>свыше 51 стебля</t>
        </is>
      </c>
      <c r="G8" s="24" t="n">
        <v>250</v>
      </c>
    </row>
    <row r="9">
      <c r="A9" s="19" t="inlineStr"/>
      <c r="B9" s="20" t="inlineStr">
        <is>
          <t>01292</t>
        </is>
      </c>
      <c r="C9" s="19" t="inlineStr">
        <is>
          <t>Фритиллярия</t>
        </is>
      </c>
      <c r="D9" s="21" t="n">
        <v>89.90000000000001</v>
      </c>
      <c r="F9" s="18" t="inlineStr">
        <is>
          <t>Доставка в себестоимость не входит (Яндекс.Доставка, платит клиент).</t>
        </is>
      </c>
    </row>
    <row r="10">
      <c r="A10" s="19" t="inlineStr"/>
      <c r="B10" s="20" t="inlineStr">
        <is>
          <t>01293</t>
        </is>
      </c>
      <c r="C10" s="19" t="inlineStr">
        <is>
          <t>Вероника Китай***</t>
        </is>
      </c>
      <c r="D10" s="21" t="n">
        <v>49.9</v>
      </c>
    </row>
    <row r="11">
      <c r="A11" s="19" t="inlineStr"/>
      <c r="B11" s="20" t="inlineStr">
        <is>
          <t>01295</t>
        </is>
      </c>
      <c r="C11" s="19" t="inlineStr">
        <is>
          <t>Орнитогалум Китай***</t>
        </is>
      </c>
      <c r="D11" s="21" t="n">
        <v>89.90000000000001</v>
      </c>
    </row>
    <row r="12">
      <c r="A12" s="19" t="inlineStr"/>
      <c r="B12" s="20" t="inlineStr">
        <is>
          <t>01296</t>
        </is>
      </c>
      <c r="C12" s="19" t="inlineStr">
        <is>
          <t>Георгин Китай***</t>
        </is>
      </c>
      <c r="D12" s="21" t="n">
        <v>99.90000000000001</v>
      </c>
    </row>
    <row r="13">
      <c r="A13" s="19" t="inlineStr"/>
      <c r="B13" s="20" t="inlineStr">
        <is>
          <t>01297</t>
        </is>
      </c>
      <c r="C13" s="19" t="inlineStr">
        <is>
          <t>Фритиллярия Китай ***</t>
        </is>
      </c>
      <c r="D13" s="21" t="n">
        <v>89.90000000000001</v>
      </c>
    </row>
    <row r="14">
      <c r="A14" s="19" t="inlineStr"/>
      <c r="B14" s="20" t="inlineStr">
        <is>
          <t>01346</t>
        </is>
      </c>
      <c r="C14" s="19" t="inlineStr">
        <is>
          <t>Маттиола КРАСНОДАР ***</t>
        </is>
      </c>
      <c r="D14" s="21" t="n">
        <v>110</v>
      </c>
    </row>
    <row r="15">
      <c r="A15" s="19" t="inlineStr"/>
      <c r="B15" s="20" t="inlineStr">
        <is>
          <t>01489</t>
        </is>
      </c>
      <c r="C15" s="19" t="inlineStr">
        <is>
          <t>Оазис Oasis Classic***</t>
        </is>
      </c>
      <c r="D15" s="21" t="n">
        <v>79.90000000000001</v>
      </c>
    </row>
    <row r="16">
      <c r="A16" s="19" t="inlineStr">
        <is>
          <t>цветы срезка</t>
        </is>
      </c>
      <c r="B16" s="20" t="inlineStr">
        <is>
          <t>00980</t>
        </is>
      </c>
      <c r="C16" s="19" t="inlineStr">
        <is>
          <t>Чех Сад кустовая 40см***</t>
        </is>
      </c>
      <c r="D16" s="21" t="n">
        <v>76.90000000000001</v>
      </c>
    </row>
    <row r="17">
      <c r="A17" s="19" t="inlineStr">
        <is>
          <t>цветы срезка</t>
        </is>
      </c>
      <c r="B17" s="20" t="inlineStr">
        <is>
          <t>00982</t>
        </is>
      </c>
      <c r="C17" s="19" t="inlineStr">
        <is>
          <t>Чех сад кустовая 60см***</t>
        </is>
      </c>
      <c r="D17" s="21" t="n">
        <v>103.9</v>
      </c>
    </row>
    <row r="18">
      <c r="A18" s="19" t="inlineStr">
        <is>
          <t>цветы срезка</t>
        </is>
      </c>
      <c r="B18" s="20" t="inlineStr">
        <is>
          <t>01256</t>
        </is>
      </c>
      <c r="C18" s="19" t="inlineStr">
        <is>
          <t>пион Китай ***</t>
        </is>
      </c>
      <c r="D18" s="21" t="n">
        <v>149.9</v>
      </c>
    </row>
    <row r="19">
      <c r="A19" s="19" t="inlineStr">
        <is>
          <t>цветы срезка</t>
        </is>
      </c>
      <c r="B19" s="20" t="inlineStr">
        <is>
          <t>00404</t>
        </is>
      </c>
      <c r="C19" s="19" t="inlineStr">
        <is>
          <t>Агапантус***</t>
        </is>
      </c>
      <c r="D19" s="21" t="n">
        <v>129.9</v>
      </c>
    </row>
    <row r="20">
      <c r="A20" s="19" t="inlineStr">
        <is>
          <t>цветы срезка</t>
        </is>
      </c>
      <c r="B20" s="20" t="inlineStr">
        <is>
          <t>01100</t>
        </is>
      </c>
      <c r="C20" s="19" t="inlineStr">
        <is>
          <t>Агератум срез***</t>
        </is>
      </c>
      <c r="D20" s="21" t="n">
        <v>79.90000000000001</v>
      </c>
    </row>
    <row r="21">
      <c r="A21" s="19" t="inlineStr">
        <is>
          <t>цветы срезка</t>
        </is>
      </c>
      <c r="B21" s="20" t="inlineStr">
        <is>
          <t>00654</t>
        </is>
      </c>
      <c r="C21" s="19" t="inlineStr">
        <is>
          <t>Аллиум***</t>
        </is>
      </c>
      <c r="D21" s="21" t="n">
        <v>109.9</v>
      </c>
    </row>
    <row r="22">
      <c r="A22" s="19" t="inlineStr">
        <is>
          <t>цветы срезка</t>
        </is>
      </c>
      <c r="B22" s="20" t="inlineStr">
        <is>
          <t>00058</t>
        </is>
      </c>
      <c r="C22" s="19" t="inlineStr">
        <is>
          <t>Альстромерия КРАСНОДАР , Армения 80 см***</t>
        </is>
      </c>
      <c r="D22" s="21" t="n">
        <v>59.9</v>
      </c>
    </row>
    <row r="23">
      <c r="A23" s="19" t="inlineStr">
        <is>
          <t>цветы срезка</t>
        </is>
      </c>
      <c r="B23" s="20" t="inlineStr">
        <is>
          <t>00346</t>
        </is>
      </c>
      <c r="C23" s="19" t="inlineStr">
        <is>
          <t>Амариллис***</t>
        </is>
      </c>
      <c r="D23" s="21" t="n">
        <v>249.9</v>
      </c>
    </row>
    <row r="24">
      <c r="A24" s="19" t="inlineStr">
        <is>
          <t>цветы срезка</t>
        </is>
      </c>
      <c r="B24" s="20" t="inlineStr">
        <is>
          <t>00532</t>
        </is>
      </c>
      <c r="C24" s="19" t="inlineStr">
        <is>
          <t>анемон***</t>
        </is>
      </c>
      <c r="D24" s="21" t="n">
        <v>189.9</v>
      </c>
    </row>
    <row r="25">
      <c r="A25" s="19" t="inlineStr">
        <is>
          <t>цветы срезка</t>
        </is>
      </c>
      <c r="B25" s="20" t="inlineStr">
        <is>
          <t>01098</t>
        </is>
      </c>
      <c r="C25" s="19" t="inlineStr">
        <is>
          <t>Арбутус***</t>
        </is>
      </c>
      <c r="D25" s="21" t="n">
        <v>49.9</v>
      </c>
    </row>
    <row r="26">
      <c r="A26" s="19" t="inlineStr">
        <is>
          <t>цветы срезка</t>
        </is>
      </c>
      <c r="B26" s="20" t="inlineStr">
        <is>
          <t>00963</t>
        </is>
      </c>
      <c r="C26" s="19" t="inlineStr">
        <is>
          <t>Аспедистра***</t>
        </is>
      </c>
      <c r="D26" s="21" t="n">
        <v>49.9</v>
      </c>
    </row>
    <row r="27">
      <c r="A27" s="19" t="inlineStr">
        <is>
          <t>цветы срезка</t>
        </is>
      </c>
      <c r="B27" s="20" t="inlineStr">
        <is>
          <t>00436</t>
        </is>
      </c>
      <c r="C27" s="19" t="inlineStr">
        <is>
          <t>астильба***</t>
        </is>
      </c>
      <c r="D27" s="21" t="n">
        <v>89.90000000000001</v>
      </c>
    </row>
    <row r="28">
      <c r="A28" s="19" t="inlineStr">
        <is>
          <t>цветы срезка</t>
        </is>
      </c>
      <c r="B28" s="20" t="inlineStr">
        <is>
          <t>00638</t>
        </is>
      </c>
      <c r="C28" s="19" t="inlineStr">
        <is>
          <t>Берзелия***</t>
        </is>
      </c>
      <c r="D28" s="21" t="n">
        <v>105.9</v>
      </c>
    </row>
    <row r="29">
      <c r="A29" s="19" t="inlineStr">
        <is>
          <t>цветы срезка</t>
        </is>
      </c>
      <c r="B29" s="20" t="inlineStr">
        <is>
          <t>00437</t>
        </is>
      </c>
      <c r="C29" s="19" t="inlineStr">
        <is>
          <t>брасика***</t>
        </is>
      </c>
      <c r="D29" s="21" t="n">
        <v>125.9</v>
      </c>
    </row>
    <row r="30">
      <c r="A30" s="19" t="inlineStr">
        <is>
          <t>цветы срезка</t>
        </is>
      </c>
      <c r="B30" s="20" t="inlineStr">
        <is>
          <t>00229</t>
        </is>
      </c>
      <c r="C30" s="19" t="inlineStr">
        <is>
          <t>бруния***</t>
        </is>
      </c>
      <c r="D30" s="21" t="n">
        <v>119.9</v>
      </c>
    </row>
    <row r="31">
      <c r="A31" s="19" t="inlineStr">
        <is>
          <t>цветы срезка</t>
        </is>
      </c>
      <c r="B31" s="20" t="inlineStr">
        <is>
          <t>00230</t>
        </is>
      </c>
      <c r="C31" s="19" t="inlineStr">
        <is>
          <t>ваксфлауэр***</t>
        </is>
      </c>
      <c r="D31" s="21" t="n">
        <v>169.9</v>
      </c>
    </row>
    <row r="32">
      <c r="A32" s="19" t="inlineStr">
        <is>
          <t>цветы срезка</t>
        </is>
      </c>
      <c r="B32" s="20" t="inlineStr">
        <is>
          <t>00022</t>
        </is>
      </c>
      <c r="C32" s="19" t="inlineStr">
        <is>
          <t>вероника***</t>
        </is>
      </c>
      <c r="D32" s="21" t="n">
        <v>84.90000000000001</v>
      </c>
    </row>
    <row r="33">
      <c r="A33" s="19" t="inlineStr">
        <is>
          <t>цветы срезка</t>
        </is>
      </c>
      <c r="B33" s="20" t="inlineStr">
        <is>
          <t>00026</t>
        </is>
      </c>
      <c r="C33" s="19" t="inlineStr">
        <is>
          <t>гвоздика Эквадор***</t>
        </is>
      </c>
      <c r="D33" s="21" t="n">
        <v>41.9</v>
      </c>
    </row>
    <row r="34">
      <c r="A34" s="19" t="inlineStr">
        <is>
          <t>цветы срезка</t>
        </is>
      </c>
      <c r="B34" s="20" t="inlineStr">
        <is>
          <t>00774</t>
        </is>
      </c>
      <c r="C34" s="19" t="inlineStr">
        <is>
          <t>Гвоздика Эквадор Кустовая***</t>
        </is>
      </c>
      <c r="D34" s="21" t="n">
        <v>45.9</v>
      </c>
    </row>
    <row r="35">
      <c r="A35" s="19" t="inlineStr">
        <is>
          <t>цветы срезка</t>
        </is>
      </c>
      <c r="B35" s="20" t="inlineStr">
        <is>
          <t>01018</t>
        </is>
      </c>
      <c r="C35" s="19" t="inlineStr">
        <is>
          <t>Георгина***</t>
        </is>
      </c>
      <c r="D35" s="21" t="n">
        <v>150</v>
      </c>
    </row>
    <row r="36">
      <c r="A36" s="19" t="inlineStr">
        <is>
          <t>цветы срезка</t>
        </is>
      </c>
      <c r="B36" s="20" t="inlineStr">
        <is>
          <t>00448</t>
        </is>
      </c>
      <c r="C36" s="19" t="inlineStr">
        <is>
          <t>гербера армения***</t>
        </is>
      </c>
      <c r="D36" s="21" t="n">
        <v>45.9</v>
      </c>
    </row>
    <row r="37">
      <c r="A37" s="19" t="inlineStr">
        <is>
          <t>цветы срезка</t>
        </is>
      </c>
      <c r="B37" s="20" t="inlineStr">
        <is>
          <t>00027</t>
        </is>
      </c>
      <c r="C37" s="19" t="inlineStr">
        <is>
          <t>гиперикум***</t>
        </is>
      </c>
      <c r="D37" s="21" t="n">
        <v>89.90000000000001</v>
      </c>
    </row>
    <row r="38">
      <c r="A38" s="19" t="inlineStr">
        <is>
          <t>цветы срезка</t>
        </is>
      </c>
      <c r="B38" s="20" t="inlineStr">
        <is>
          <t>00028</t>
        </is>
      </c>
      <c r="C38" s="19" t="inlineStr">
        <is>
          <t>гипсофила белая  банч***</t>
        </is>
      </c>
      <c r="D38" s="21" t="n">
        <v>1990</v>
      </c>
    </row>
    <row r="39">
      <c r="A39" s="19" t="inlineStr">
        <is>
          <t>цветы срезка</t>
        </is>
      </c>
      <c r="B39" s="20" t="inlineStr">
        <is>
          <t>00365</t>
        </is>
      </c>
      <c r="C39" s="19" t="inlineStr">
        <is>
          <t>Гипсофила крашеная банч***</t>
        </is>
      </c>
      <c r="D39" s="21" t="n">
        <v>2190</v>
      </c>
    </row>
    <row r="40">
      <c r="A40" s="19" t="inlineStr">
        <is>
          <t>цветы срезка</t>
        </is>
      </c>
      <c r="B40" s="20" t="inlineStr">
        <is>
          <t>00443</t>
        </is>
      </c>
      <c r="C40" s="19" t="inlineStr">
        <is>
          <t>гладиолус***</t>
        </is>
      </c>
      <c r="D40" s="21" t="n">
        <v>89.90000000000001</v>
      </c>
    </row>
    <row r="41">
      <c r="A41" s="19" t="inlineStr">
        <is>
          <t>цветы срезка</t>
        </is>
      </c>
      <c r="B41" s="20" t="inlineStr">
        <is>
          <t>00029</t>
        </is>
      </c>
      <c r="C41" s="19" t="inlineStr">
        <is>
          <t>гортензия Колумбия***</t>
        </is>
      </c>
      <c r="D41" s="21" t="n">
        <v>179.9</v>
      </c>
    </row>
    <row r="42">
      <c r="A42" s="19" t="inlineStr">
        <is>
          <t>цветы срезка</t>
        </is>
      </c>
      <c r="B42" s="20" t="inlineStr">
        <is>
          <t>00533</t>
        </is>
      </c>
      <c r="C42" s="19" t="inlineStr">
        <is>
          <t>гринтик***</t>
        </is>
      </c>
      <c r="D42" s="21" t="n">
        <v>149.9</v>
      </c>
    </row>
    <row r="43">
      <c r="A43" s="19" t="inlineStr">
        <is>
          <t>цветы срезка</t>
        </is>
      </c>
      <c r="B43" s="20" t="inlineStr">
        <is>
          <t>00428</t>
        </is>
      </c>
      <c r="C43" s="19" t="inlineStr">
        <is>
          <t>дельфиниум***</t>
        </is>
      </c>
      <c r="D43" s="21" t="n">
        <v>186.9</v>
      </c>
    </row>
    <row r="44">
      <c r="A44" s="19" t="inlineStr">
        <is>
          <t>цветы срезка</t>
        </is>
      </c>
      <c r="B44" s="20" t="inlineStr">
        <is>
          <t>01062</t>
        </is>
      </c>
      <c r="C44" s="19" t="inlineStr">
        <is>
          <t>дуб***</t>
        </is>
      </c>
      <c r="D44" s="21" t="n">
        <v>29.9</v>
      </c>
    </row>
    <row r="45">
      <c r="A45" s="19" t="inlineStr">
        <is>
          <t>цветы срезка</t>
        </is>
      </c>
      <c r="B45" s="20" t="inlineStr">
        <is>
          <t>00495</t>
        </is>
      </c>
      <c r="C45" s="19" t="inlineStr">
        <is>
          <t>Илекс***</t>
        </is>
      </c>
      <c r="D45" s="21" t="n">
        <v>399</v>
      </c>
    </row>
    <row r="46">
      <c r="A46" s="19" t="inlineStr">
        <is>
          <t>цветы срезка</t>
        </is>
      </c>
      <c r="B46" s="20" t="inlineStr">
        <is>
          <t>00142</t>
        </is>
      </c>
      <c r="C46" s="19" t="inlineStr">
        <is>
          <t>ирис***</t>
        </is>
      </c>
      <c r="D46" s="21" t="n">
        <v>39.9</v>
      </c>
    </row>
    <row r="47">
      <c r="A47" s="19" t="inlineStr">
        <is>
          <t>цветы срезка</t>
        </is>
      </c>
      <c r="B47" s="20" t="inlineStr">
        <is>
          <t>00730</t>
        </is>
      </c>
      <c r="C47" s="19" t="inlineStr">
        <is>
          <t>Ирис белый***</t>
        </is>
      </c>
      <c r="D47" s="21" t="n">
        <v>46.9</v>
      </c>
    </row>
    <row r="48">
      <c r="A48" s="19" t="inlineStr">
        <is>
          <t>цветы срезка</t>
        </is>
      </c>
      <c r="B48" s="20" t="inlineStr">
        <is>
          <t>00945</t>
        </is>
      </c>
      <c r="C48" s="19" t="inlineStr">
        <is>
          <t>каапс***</t>
        </is>
      </c>
      <c r="D48" s="21" t="n">
        <v>499</v>
      </c>
    </row>
    <row r="49">
      <c r="A49" s="19" t="inlineStr">
        <is>
          <t>цветы срезка</t>
        </is>
      </c>
      <c r="B49" s="20" t="inlineStr">
        <is>
          <t>00381</t>
        </is>
      </c>
      <c r="C49" s="19" t="inlineStr">
        <is>
          <t>Калла***</t>
        </is>
      </c>
      <c r="D49" s="21" t="n">
        <v>189.9</v>
      </c>
    </row>
    <row r="50">
      <c r="A50" s="19" t="inlineStr">
        <is>
          <t>цветы срезка</t>
        </is>
      </c>
      <c r="B50" s="20" t="inlineStr">
        <is>
          <t>00422</t>
        </is>
      </c>
      <c r="C50" s="19" t="inlineStr">
        <is>
          <t>Клематис ***</t>
        </is>
      </c>
      <c r="D50" s="21" t="n">
        <v>89.90000000000001</v>
      </c>
    </row>
    <row r="51">
      <c r="A51" s="19" t="inlineStr">
        <is>
          <t>цветы срезка</t>
        </is>
      </c>
      <c r="B51" s="20" t="inlineStr">
        <is>
          <t>00145</t>
        </is>
      </c>
      <c r="C51" s="19" t="inlineStr">
        <is>
          <t>краспедия***</t>
        </is>
      </c>
      <c r="D51" s="21" t="n">
        <v>59.9</v>
      </c>
    </row>
    <row r="52">
      <c r="A52" s="19" t="inlineStr">
        <is>
          <t>цветы срезка</t>
        </is>
      </c>
      <c r="B52" s="20" t="inlineStr">
        <is>
          <t>00500</t>
        </is>
      </c>
      <c r="C52" s="19" t="inlineStr">
        <is>
          <t>л1</t>
        </is>
      </c>
      <c r="D52" s="21" t="n">
        <v>169.9</v>
      </c>
    </row>
    <row r="53">
      <c r="A53" s="19" t="inlineStr">
        <is>
          <t>цветы срезка</t>
        </is>
      </c>
      <c r="B53" s="20" t="inlineStr">
        <is>
          <t>00281</t>
        </is>
      </c>
      <c r="C53" s="19" t="inlineStr">
        <is>
          <t>леукадендрон***</t>
        </is>
      </c>
      <c r="D53" s="21" t="n">
        <v>139.9</v>
      </c>
    </row>
    <row r="54">
      <c r="A54" s="19" t="inlineStr">
        <is>
          <t>цветы срезка</t>
        </is>
      </c>
      <c r="B54" s="20" t="inlineStr">
        <is>
          <t>00445</t>
        </is>
      </c>
      <c r="C54" s="19" t="inlineStr">
        <is>
          <t>леукосперум***</t>
        </is>
      </c>
      <c r="D54" s="21" t="n">
        <v>89.90000000000001</v>
      </c>
    </row>
    <row r="55">
      <c r="A55" s="19" t="inlineStr">
        <is>
          <t>цветы срезка</t>
        </is>
      </c>
      <c r="B55" s="20" t="inlineStr">
        <is>
          <t>00059</t>
        </is>
      </c>
      <c r="C55" s="19" t="inlineStr">
        <is>
          <t>Лилия***</t>
        </is>
      </c>
      <c r="D55" s="21" t="n">
        <v>369.9</v>
      </c>
    </row>
    <row r="56">
      <c r="A56" s="19" t="inlineStr">
        <is>
          <t>цветы срезка</t>
        </is>
      </c>
      <c r="B56" s="20" t="inlineStr">
        <is>
          <t>00968</t>
        </is>
      </c>
      <c r="C56" s="19" t="inlineStr">
        <is>
          <t>Лилия ПИОНОВИДНАЯ***</t>
        </is>
      </c>
      <c r="D56" s="21" t="n">
        <v>399.9</v>
      </c>
    </row>
    <row r="57">
      <c r="A57" s="19" t="inlineStr">
        <is>
          <t>цветы срезка</t>
        </is>
      </c>
      <c r="B57" s="20" t="inlineStr">
        <is>
          <t>00030</t>
        </is>
      </c>
      <c r="C57" s="19" t="inlineStr">
        <is>
          <t>лимониум/статица***</t>
        </is>
      </c>
      <c r="D57" s="21" t="n">
        <v>119.9</v>
      </c>
    </row>
    <row r="58">
      <c r="A58" s="19" t="inlineStr">
        <is>
          <t>цветы срезка</t>
        </is>
      </c>
      <c r="B58" s="20" t="inlineStr">
        <is>
          <t>01042</t>
        </is>
      </c>
      <c r="C58" s="19" t="inlineStr">
        <is>
          <t>лотус***</t>
        </is>
      </c>
      <c r="D58" s="21" t="n">
        <v>199.9</v>
      </c>
    </row>
    <row r="59">
      <c r="A59" s="19" t="inlineStr">
        <is>
          <t>цветы срезка</t>
        </is>
      </c>
      <c r="B59" s="20" t="inlineStr">
        <is>
          <t>00031</t>
        </is>
      </c>
      <c r="C59" s="19" t="inlineStr">
        <is>
          <t>маттиола***</t>
        </is>
      </c>
      <c r="D59" s="21" t="n">
        <v>75.90000000000001</v>
      </c>
    </row>
    <row r="60">
      <c r="A60" s="19" t="inlineStr">
        <is>
          <t>цветы срезка</t>
        </is>
      </c>
      <c r="B60" s="20" t="inlineStr">
        <is>
          <t>00873</t>
        </is>
      </c>
      <c r="C60" s="19" t="inlineStr">
        <is>
          <t>монстера лист***</t>
        </is>
      </c>
      <c r="D60" s="21" t="n">
        <v>69.90000000000001</v>
      </c>
    </row>
    <row r="61">
      <c r="A61" s="19" t="inlineStr">
        <is>
          <t>цветы срезка</t>
        </is>
      </c>
      <c r="B61" s="20" t="inlineStr">
        <is>
          <t>00512</t>
        </is>
      </c>
      <c r="C61" s="19" t="inlineStr">
        <is>
          <t>озатамус***</t>
        </is>
      </c>
      <c r="D61" s="21" t="n">
        <v>169.9</v>
      </c>
    </row>
    <row r="62">
      <c r="A62" s="19" t="inlineStr">
        <is>
          <t>цветы срезка</t>
        </is>
      </c>
      <c r="B62" s="20" t="inlineStr">
        <is>
          <t>00384</t>
        </is>
      </c>
      <c r="C62" s="19" t="inlineStr">
        <is>
          <t>Оксипиталум***</t>
        </is>
      </c>
      <c r="D62" s="21" t="n">
        <v>142.9</v>
      </c>
    </row>
    <row r="63">
      <c r="A63" s="19" t="inlineStr">
        <is>
          <t>цветы срезка</t>
        </is>
      </c>
      <c r="B63" s="20" t="inlineStr">
        <is>
          <t>00282</t>
        </is>
      </c>
      <c r="C63" s="19" t="inlineStr">
        <is>
          <t>орнитагалум***</t>
        </is>
      </c>
      <c r="D63" s="21" t="n">
        <v>129.9</v>
      </c>
    </row>
    <row r="64">
      <c r="A64" s="19" t="inlineStr">
        <is>
          <t>цветы срезка</t>
        </is>
      </c>
      <c r="B64" s="20" t="inlineStr">
        <is>
          <t>00620</t>
        </is>
      </c>
      <c r="C64" s="19" t="inlineStr">
        <is>
          <t>папоротник***</t>
        </is>
      </c>
      <c r="D64" s="21" t="n">
        <v>479</v>
      </c>
    </row>
    <row r="65">
      <c r="A65" s="19" t="inlineStr">
        <is>
          <t>цветы срезка</t>
        </is>
      </c>
      <c r="B65" s="20" t="inlineStr">
        <is>
          <t>00558</t>
        </is>
      </c>
      <c r="C65" s="19" t="inlineStr">
        <is>
          <t>Пастушья сумка</t>
        </is>
      </c>
      <c r="D65" s="21" t="n">
        <v>89.90000000000001</v>
      </c>
    </row>
    <row r="66">
      <c r="A66" s="19" t="inlineStr">
        <is>
          <t>цветы срезка</t>
        </is>
      </c>
      <c r="B66" s="20" t="inlineStr">
        <is>
          <t>00032</t>
        </is>
      </c>
      <c r="C66" s="19" t="inlineStr">
        <is>
          <t>писташ банч***</t>
        </is>
      </c>
      <c r="D66" s="21" t="n">
        <v>1290</v>
      </c>
    </row>
    <row r="67">
      <c r="A67" s="19" t="inlineStr">
        <is>
          <t>цветы срезка</t>
        </is>
      </c>
      <c r="B67" s="20" t="inlineStr">
        <is>
          <t>00556</t>
        </is>
      </c>
      <c r="C67" s="19" t="inlineStr">
        <is>
          <t>питтаспорум***</t>
        </is>
      </c>
      <c r="D67" s="21" t="n">
        <v>39.9</v>
      </c>
    </row>
    <row r="68">
      <c r="A68" s="19" t="inlineStr">
        <is>
          <t>цветы срезка</t>
        </is>
      </c>
      <c r="B68" s="20" t="inlineStr">
        <is>
          <t>00325</t>
        </is>
      </c>
      <c r="C68" s="19" t="inlineStr">
        <is>
          <t>подсолнух***</t>
        </is>
      </c>
      <c r="D68" s="21" t="n">
        <v>159.9</v>
      </c>
    </row>
    <row r="69">
      <c r="A69" s="19" t="inlineStr">
        <is>
          <t>цветы срезка</t>
        </is>
      </c>
      <c r="B69" s="20" t="inlineStr">
        <is>
          <t>00283</t>
        </is>
      </c>
      <c r="C69" s="19" t="inlineStr">
        <is>
          <t>протея***</t>
        </is>
      </c>
      <c r="D69" s="21" t="n">
        <v>699</v>
      </c>
    </row>
    <row r="70">
      <c r="A70" s="19" t="inlineStr">
        <is>
          <t>цветы срезка</t>
        </is>
      </c>
      <c r="B70" s="20" t="inlineStr">
        <is>
          <t>00494</t>
        </is>
      </c>
      <c r="C70" s="19" t="inlineStr">
        <is>
          <t>ранункулюс***</t>
        </is>
      </c>
      <c r="D70" s="21" t="n">
        <v>249.9</v>
      </c>
    </row>
    <row r="71">
      <c r="A71" s="19" t="inlineStr">
        <is>
          <t>цветы срезка</t>
        </is>
      </c>
      <c r="B71" s="20" t="inlineStr">
        <is>
          <t>01106</t>
        </is>
      </c>
      <c r="C71" s="19" t="inlineStr">
        <is>
          <t>Робелини пачка***</t>
        </is>
      </c>
      <c r="D71" s="21" t="n">
        <v>229</v>
      </c>
    </row>
    <row r="72">
      <c r="A72" s="19" t="inlineStr">
        <is>
          <t>цветы срезка</t>
        </is>
      </c>
      <c r="B72" s="20" t="inlineStr">
        <is>
          <t>01064</t>
        </is>
      </c>
      <c r="C72" s="19" t="inlineStr">
        <is>
          <t>Роза ГОРКУНОВ 40 см одног***</t>
        </is>
      </c>
      <c r="D72" s="21" t="n">
        <v>32.9</v>
      </c>
    </row>
    <row r="73">
      <c r="A73" s="19" t="inlineStr">
        <is>
          <t>цветы срезка</t>
        </is>
      </c>
      <c r="B73" s="20" t="inlineStr">
        <is>
          <t>01067</t>
        </is>
      </c>
      <c r="C73" s="19" t="inlineStr">
        <is>
          <t>Роза ГОРКУНОВ 50 см КУСТ***</t>
        </is>
      </c>
      <c r="D73" s="21" t="n">
        <v>149.9</v>
      </c>
    </row>
    <row r="74">
      <c r="A74" s="19" t="inlineStr">
        <is>
          <t>цветы срезка</t>
        </is>
      </c>
      <c r="B74" s="20" t="inlineStr">
        <is>
          <t>01065</t>
        </is>
      </c>
      <c r="C74" s="19" t="inlineStr">
        <is>
          <t>Роза ГОРКУНОВ 50 см одног***</t>
        </is>
      </c>
      <c r="D74" s="21" t="n">
        <v>68.90000000000001</v>
      </c>
    </row>
    <row r="75">
      <c r="A75" s="19" t="inlineStr">
        <is>
          <t>цветы срезка</t>
        </is>
      </c>
      <c r="B75" s="20" t="inlineStr">
        <is>
          <t>01068</t>
        </is>
      </c>
      <c r="C75" s="19" t="inlineStr">
        <is>
          <t>Роза ГОРКУНОВ 60 см КУСТ***</t>
        </is>
      </c>
      <c r="D75" s="21" t="n">
        <v>162.9</v>
      </c>
    </row>
    <row r="76">
      <c r="A76" s="19" t="inlineStr">
        <is>
          <t>цветы срезка</t>
        </is>
      </c>
      <c r="B76" s="20" t="inlineStr">
        <is>
          <t>01066</t>
        </is>
      </c>
      <c r="C76" s="19" t="inlineStr">
        <is>
          <t>Роза ГОРКУНОВ 60 см одног***</t>
        </is>
      </c>
      <c r="D76" s="21" t="n">
        <v>87.90000000000001</v>
      </c>
    </row>
    <row r="77">
      <c r="A77" s="19" t="inlineStr">
        <is>
          <t>цветы срезка</t>
        </is>
      </c>
      <c r="B77" s="20" t="inlineStr">
        <is>
          <t>00439</t>
        </is>
      </c>
      <c r="C77" s="19" t="inlineStr">
        <is>
          <t>Роза Кения 40 см***</t>
        </is>
      </c>
      <c r="D77" s="21" t="n">
        <v>32.9</v>
      </c>
    </row>
    <row r="78">
      <c r="A78" s="19" t="inlineStr">
        <is>
          <t>цветы срезка</t>
        </is>
      </c>
      <c r="B78" s="20" t="inlineStr">
        <is>
          <t>00886</t>
        </is>
      </c>
      <c r="C78" s="19" t="inlineStr">
        <is>
          <t>Роза Кения Красная 40 см***</t>
        </is>
      </c>
      <c r="D78" s="21" t="n">
        <v>32.9</v>
      </c>
    </row>
    <row r="79">
      <c r="A79" s="19" t="inlineStr">
        <is>
          <t>цветы срезка</t>
        </is>
      </c>
      <c r="B79" s="20" t="inlineStr">
        <is>
          <t>00420</t>
        </is>
      </c>
      <c r="C79" s="19" t="inlineStr">
        <is>
          <t>Роза кустовая голландия***</t>
        </is>
      </c>
      <c r="D79" s="21" t="n">
        <v>135.9</v>
      </c>
    </row>
    <row r="80">
      <c r="A80" s="19" t="inlineStr">
        <is>
          <t>цветы срезка</t>
        </is>
      </c>
      <c r="B80" s="20" t="inlineStr">
        <is>
          <t>00734</t>
        </is>
      </c>
      <c r="C80" s="19" t="inlineStr">
        <is>
          <t>Роза кустовая Голландия Пионовидная***</t>
        </is>
      </c>
      <c r="D80" s="21" t="n">
        <v>129.9</v>
      </c>
    </row>
    <row r="81">
      <c r="A81" s="19" t="inlineStr">
        <is>
          <t>цветы срезка</t>
        </is>
      </c>
      <c r="B81" s="20" t="inlineStr">
        <is>
          <t>00995</t>
        </is>
      </c>
      <c r="C81" s="19" t="inlineStr">
        <is>
          <t>Роза куст СТУПИНО 50 см***</t>
        </is>
      </c>
      <c r="D81" s="21" t="n">
        <v>129.9</v>
      </c>
    </row>
    <row r="82">
      <c r="A82" s="19" t="inlineStr">
        <is>
          <t>цветы срезка</t>
        </is>
      </c>
      <c r="B82" s="20" t="inlineStr">
        <is>
          <t>00996</t>
        </is>
      </c>
      <c r="C82" s="19" t="inlineStr">
        <is>
          <t>Роза  куст СТУПИНО 70 см***</t>
        </is>
      </c>
      <c r="D82" s="21" t="n">
        <v>135.9</v>
      </c>
    </row>
    <row r="83">
      <c r="A83" s="19" t="inlineStr">
        <is>
          <t>цветы срезка</t>
        </is>
      </c>
      <c r="B83" s="20" t="inlineStr">
        <is>
          <t>00768</t>
        </is>
      </c>
      <c r="C83" s="19" t="inlineStr">
        <is>
          <t>Роза эквадор 40см ред монстр, синяя , радужная***</t>
        </is>
      </c>
      <c r="D83" s="21" t="n">
        <v>91.90000000000001</v>
      </c>
    </row>
    <row r="84">
      <c r="A84" s="19" t="inlineStr">
        <is>
          <t>цветы срезка</t>
        </is>
      </c>
      <c r="B84" s="20" t="inlineStr">
        <is>
          <t>00773</t>
        </is>
      </c>
      <c r="C84" s="19" t="inlineStr">
        <is>
          <t>Роза Эквадор 40 см сорт + пион***</t>
        </is>
      </c>
      <c r="D84" s="21" t="n">
        <v>71.90000000000001</v>
      </c>
    </row>
    <row r="85">
      <c r="A85" s="19" t="inlineStr">
        <is>
          <t>цветы срезка</t>
        </is>
      </c>
      <c r="B85" s="20" t="inlineStr">
        <is>
          <t>00688</t>
        </is>
      </c>
      <c r="C85" s="19" t="inlineStr">
        <is>
          <t>Роза Эквадор Red, Pink Monster, синяя, радужная 50 см***</t>
        </is>
      </c>
      <c r="D85" s="21" t="n">
        <v>121.9</v>
      </c>
    </row>
    <row r="86">
      <c r="A86" s="19" t="inlineStr">
        <is>
          <t>цветы срезка</t>
        </is>
      </c>
      <c r="B86" s="20" t="inlineStr">
        <is>
          <t>00341</t>
        </is>
      </c>
      <c r="C86" s="19" t="inlineStr">
        <is>
          <t>Роза  Эквадор микс 100**</t>
        </is>
      </c>
      <c r="D86" s="21" t="n">
        <v>121.9</v>
      </c>
    </row>
    <row r="87">
      <c r="A87" s="19" t="inlineStr">
        <is>
          <t>цветы срезка</t>
        </is>
      </c>
      <c r="B87" s="20" t="inlineStr">
        <is>
          <t>00284</t>
        </is>
      </c>
      <c r="C87" s="19" t="inlineStr">
        <is>
          <t>роза эквадор микс 40 см***</t>
        </is>
      </c>
      <c r="D87" s="21" t="n">
        <v>61.9</v>
      </c>
    </row>
    <row r="88">
      <c r="A88" s="19" t="inlineStr">
        <is>
          <t>цветы срезка</t>
        </is>
      </c>
      <c r="B88" s="20" t="inlineStr">
        <is>
          <t>00060</t>
        </is>
      </c>
      <c r="C88" s="19" t="inlineStr">
        <is>
          <t>Роза Эквадор микс 50 см***</t>
        </is>
      </c>
      <c r="D88" s="21" t="n">
        <v>73.90000000000001</v>
      </c>
    </row>
    <row r="89">
      <c r="A89" s="19" t="inlineStr">
        <is>
          <t>цветы срезка</t>
        </is>
      </c>
      <c r="B89" s="20" t="inlineStr">
        <is>
          <t>00061</t>
        </is>
      </c>
      <c r="C89" s="19" t="inlineStr">
        <is>
          <t>Роза Эквадор микс 60 см***</t>
        </is>
      </c>
      <c r="D89" s="21" t="n">
        <v>85.90000000000001</v>
      </c>
    </row>
    <row r="90">
      <c r="A90" s="19" t="inlineStr">
        <is>
          <t>цветы срезка</t>
        </is>
      </c>
      <c r="B90" s="20" t="inlineStr">
        <is>
          <t>00062</t>
        </is>
      </c>
      <c r="C90" s="19" t="inlineStr">
        <is>
          <t>Роза Эквадор микс 70 см***</t>
        </is>
      </c>
      <c r="D90" s="21" t="n">
        <v>97.90000000000001</v>
      </c>
    </row>
    <row r="91">
      <c r="A91" s="19" t="inlineStr">
        <is>
          <t>цветы срезка</t>
        </is>
      </c>
      <c r="B91" s="20" t="inlineStr">
        <is>
          <t>00063</t>
        </is>
      </c>
      <c r="C91" s="19" t="inlineStr">
        <is>
          <t>Роза Эквадор микс 80 см***</t>
        </is>
      </c>
      <c r="D91" s="21" t="n">
        <v>109.9</v>
      </c>
    </row>
    <row r="92">
      <c r="A92" s="19" t="inlineStr">
        <is>
          <t>цветы срезка</t>
        </is>
      </c>
      <c r="B92" s="20" t="inlineStr">
        <is>
          <t>00064</t>
        </is>
      </c>
      <c r="C92" s="19" t="inlineStr">
        <is>
          <t>Роза Эквадор микс 90 см***</t>
        </is>
      </c>
      <c r="D92" s="21" t="n">
        <v>119.9</v>
      </c>
    </row>
    <row r="93">
      <c r="A93" s="19" t="inlineStr">
        <is>
          <t>цветы срезка</t>
        </is>
      </c>
      <c r="B93" s="20" t="inlineStr">
        <is>
          <t>00777</t>
        </is>
      </c>
      <c r="C93" s="19" t="inlineStr">
        <is>
          <t>Роза Эквадор Мондиаль 50 см***</t>
        </is>
      </c>
      <c r="D93" s="21" t="n">
        <v>73.90000000000001</v>
      </c>
    </row>
    <row r="94">
      <c r="A94" s="19" t="inlineStr">
        <is>
          <t>цветы срезка</t>
        </is>
      </c>
      <c r="B94" s="20" t="inlineStr">
        <is>
          <t>00778</t>
        </is>
      </c>
      <c r="C94" s="19" t="inlineStr">
        <is>
          <t>Роза Эквадор Мондиаль 60 см***</t>
        </is>
      </c>
      <c r="D94" s="21" t="n">
        <v>85.90000000000001</v>
      </c>
    </row>
    <row r="95">
      <c r="A95" s="19" t="inlineStr">
        <is>
          <t>цветы срезка</t>
        </is>
      </c>
      <c r="B95" s="20" t="inlineStr">
        <is>
          <t>00779</t>
        </is>
      </c>
      <c r="C95" s="19" t="inlineStr">
        <is>
          <t>Роза Эквадор Мондиаль 70 см***</t>
        </is>
      </c>
      <c r="D95" s="21" t="n">
        <v>97.90000000000001</v>
      </c>
    </row>
    <row r="96">
      <c r="A96" s="19" t="inlineStr">
        <is>
          <t>цветы срезка</t>
        </is>
      </c>
      <c r="B96" s="20" t="inlineStr">
        <is>
          <t>00672</t>
        </is>
      </c>
      <c r="C96" s="19" t="inlineStr">
        <is>
          <t>Роза Эквадор Пионовидная + Сорт 50 см***</t>
        </is>
      </c>
      <c r="D96" s="21" t="n">
        <v>83.90000000000001</v>
      </c>
    </row>
    <row r="97">
      <c r="A97" s="19" t="inlineStr">
        <is>
          <t>цветы срезка</t>
        </is>
      </c>
      <c r="B97" s="20" t="inlineStr">
        <is>
          <t>00673</t>
        </is>
      </c>
      <c r="C97" s="19" t="inlineStr">
        <is>
          <t>Роза Эквадор Пионовидная + Сорт 60 см***</t>
        </is>
      </c>
      <c r="D97" s="21" t="n">
        <v>95.90000000000001</v>
      </c>
    </row>
    <row r="98">
      <c r="A98" s="19" t="inlineStr">
        <is>
          <t>цветы срезка</t>
        </is>
      </c>
      <c r="B98" s="20" t="inlineStr">
        <is>
          <t>00674</t>
        </is>
      </c>
      <c r="C98" s="19" t="inlineStr">
        <is>
          <t>Роза Эквадор Пионовидная + Сорт 70 см***</t>
        </is>
      </c>
      <c r="D98" s="21" t="n">
        <v>107.9</v>
      </c>
    </row>
    <row r="99">
      <c r="A99" s="19" t="inlineStr">
        <is>
          <t>цветы срезка</t>
        </is>
      </c>
      <c r="B99" s="20" t="inlineStr">
        <is>
          <t>00675</t>
        </is>
      </c>
      <c r="C99" s="19" t="inlineStr">
        <is>
          <t>Роза Эквадор Пионовидная + Сорт 80 см***</t>
        </is>
      </c>
      <c r="D99" s="21" t="n">
        <v>118.9</v>
      </c>
    </row>
    <row r="100">
      <c r="A100" s="19" t="inlineStr">
        <is>
          <t>цветы срезка</t>
        </is>
      </c>
      <c r="B100" s="20" t="inlineStr">
        <is>
          <t>00776</t>
        </is>
      </c>
      <c r="C100" s="19" t="inlineStr">
        <is>
          <t>Роза Эквадор Эксплорер 100 см***</t>
        </is>
      </c>
      <c r="D100" s="21" t="n">
        <v>136.9</v>
      </c>
    </row>
    <row r="101">
      <c r="A101" s="19" t="inlineStr">
        <is>
          <t>цветы срезка</t>
        </is>
      </c>
      <c r="B101" s="20" t="inlineStr">
        <is>
          <t>00766</t>
        </is>
      </c>
      <c r="C101" s="19" t="inlineStr">
        <is>
          <t>Роза Эквадор Эксплорер 40 см***</t>
        </is>
      </c>
      <c r="D101" s="21" t="n">
        <v>61.9</v>
      </c>
    </row>
    <row r="102">
      <c r="A102" s="19" t="inlineStr">
        <is>
          <t>цветы срезка</t>
        </is>
      </c>
      <c r="B102" s="20" t="inlineStr">
        <is>
          <t>00705</t>
        </is>
      </c>
      <c r="C102" s="19" t="inlineStr">
        <is>
          <t>Роза Эквадор Эксплорер 50 см***</t>
        </is>
      </c>
      <c r="D102" s="21" t="n">
        <v>73.90000000000001</v>
      </c>
    </row>
    <row r="103">
      <c r="A103" s="19" t="inlineStr">
        <is>
          <t>цветы срезка</t>
        </is>
      </c>
      <c r="B103" s="20" t="inlineStr">
        <is>
          <t>00706</t>
        </is>
      </c>
      <c r="C103" s="19" t="inlineStr">
        <is>
          <t>Роза Эквадор Эксплорер 60 см***</t>
        </is>
      </c>
      <c r="D103" s="21" t="n">
        <v>85.90000000000001</v>
      </c>
    </row>
    <row r="104">
      <c r="A104" s="19" t="inlineStr">
        <is>
          <t>цветы срезка</t>
        </is>
      </c>
      <c r="B104" s="20" t="inlineStr">
        <is>
          <t>00707</t>
        </is>
      </c>
      <c r="C104" s="19" t="inlineStr">
        <is>
          <t>Роза Эквадор Эксплорер 70 см***</t>
        </is>
      </c>
      <c r="D104" s="21" t="n">
        <v>97.90000000000001</v>
      </c>
    </row>
    <row r="105">
      <c r="A105" s="19" t="inlineStr">
        <is>
          <t>цветы срезка</t>
        </is>
      </c>
      <c r="B105" s="20" t="inlineStr">
        <is>
          <t>00708</t>
        </is>
      </c>
      <c r="C105" s="19" t="inlineStr">
        <is>
          <t>Роза Эквадор Эксплорер 80 см***</t>
        </is>
      </c>
      <c r="D105" s="21" t="n">
        <v>105.9</v>
      </c>
    </row>
    <row r="106">
      <c r="A106" s="19" t="inlineStr">
        <is>
          <t>цветы срезка</t>
        </is>
      </c>
      <c r="B106" s="20" t="inlineStr">
        <is>
          <t>00709</t>
        </is>
      </c>
      <c r="C106" s="19" t="inlineStr">
        <is>
          <t>Роза Эквадор Эксплорер 90 см***</t>
        </is>
      </c>
      <c r="D106" s="21" t="n">
        <v>119.9</v>
      </c>
    </row>
    <row r="107">
      <c r="A107" s="19" t="inlineStr">
        <is>
          <t>цветы срезка</t>
        </is>
      </c>
      <c r="B107" s="20" t="inlineStr">
        <is>
          <t>01020</t>
        </is>
      </c>
      <c r="C107" s="19" t="inlineStr">
        <is>
          <t>Рубус***</t>
        </is>
      </c>
      <c r="D107" s="21" t="n">
        <v>79.90000000000001</v>
      </c>
    </row>
    <row r="108">
      <c r="A108" s="19" t="inlineStr">
        <is>
          <t>цветы срезка</t>
        </is>
      </c>
      <c r="B108" s="20" t="inlineStr">
        <is>
          <t>00042</t>
        </is>
      </c>
      <c r="C108" s="19" t="inlineStr">
        <is>
          <t>Рускус***</t>
        </is>
      </c>
      <c r="D108" s="21" t="n">
        <v>39.9</v>
      </c>
    </row>
    <row r="109">
      <c r="A109" s="19" t="inlineStr">
        <is>
          <t>цветы срезка</t>
        </is>
      </c>
      <c r="B109" s="20" t="inlineStr">
        <is>
          <t>00043</t>
        </is>
      </c>
      <c r="C109" s="19" t="inlineStr">
        <is>
          <t>С</t>
        </is>
      </c>
      <c r="D109" s="21" t="n">
        <v>69.90000000000001</v>
      </c>
    </row>
    <row r="110">
      <c r="A110" s="19" t="inlineStr">
        <is>
          <t>цветы срезка</t>
        </is>
      </c>
      <c r="B110" s="20" t="inlineStr">
        <is>
          <t>00951</t>
        </is>
      </c>
      <c r="C110" s="19" t="inlineStr">
        <is>
          <t>Сантини***</t>
        </is>
      </c>
      <c r="D110" s="21" t="n">
        <v>79.90000000000001</v>
      </c>
    </row>
    <row r="111">
      <c r="A111" s="19" t="inlineStr">
        <is>
          <t>цветы срезка</t>
        </is>
      </c>
      <c r="B111" s="20" t="inlineStr">
        <is>
          <t>00735</t>
        </is>
      </c>
      <c r="C111" s="19" t="inlineStr">
        <is>
          <t>Серрурия***</t>
        </is>
      </c>
      <c r="D111" s="21" t="n">
        <v>99.90000000000001</v>
      </c>
    </row>
    <row r="112">
      <c r="A112" s="19" t="inlineStr">
        <is>
          <t>цветы срезка</t>
        </is>
      </c>
      <c r="B112" s="20" t="inlineStr">
        <is>
          <t>01037</t>
        </is>
      </c>
      <c r="C112" s="19" t="inlineStr">
        <is>
          <t>Сетария***</t>
        </is>
      </c>
      <c r="D112" s="21" t="n">
        <v>99.90000000000001</v>
      </c>
    </row>
    <row r="113">
      <c r="A113" s="19" t="inlineStr">
        <is>
          <t>цветы срезка</t>
        </is>
      </c>
      <c r="B113" s="20" t="inlineStr">
        <is>
          <t>01099</t>
        </is>
      </c>
      <c r="C113" s="19" t="inlineStr">
        <is>
          <t>скабиоза срез***</t>
        </is>
      </c>
      <c r="D113" s="21" t="n">
        <v>129.9</v>
      </c>
    </row>
    <row r="114">
      <c r="A114" s="19" t="inlineStr">
        <is>
          <t>цветы срезка</t>
        </is>
      </c>
      <c r="B114" s="20" t="inlineStr">
        <is>
          <t>00280</t>
        </is>
      </c>
      <c r="C114" s="19" t="inlineStr">
        <is>
          <t>скимия***</t>
        </is>
      </c>
      <c r="D114" s="21" t="n">
        <v>575</v>
      </c>
    </row>
    <row r="115">
      <c r="A115" s="19" t="inlineStr">
        <is>
          <t>цветы срезка</t>
        </is>
      </c>
      <c r="B115" s="20" t="inlineStr">
        <is>
          <t>00231</t>
        </is>
      </c>
      <c r="C115" s="19" t="inlineStr">
        <is>
          <t>солидаго***</t>
        </is>
      </c>
      <c r="D115" s="21" t="n">
        <v>119.9</v>
      </c>
    </row>
    <row r="116">
      <c r="A116" s="19" t="inlineStr">
        <is>
          <t>цветы срезка</t>
        </is>
      </c>
      <c r="B116" s="20" t="inlineStr">
        <is>
          <t>00310</t>
        </is>
      </c>
      <c r="C116" s="19" t="inlineStr">
        <is>
          <t>танацетум***</t>
        </is>
      </c>
      <c r="D116" s="21" t="n">
        <v>129.9</v>
      </c>
    </row>
    <row r="117">
      <c r="A117" s="19" t="inlineStr">
        <is>
          <t>цветы срезка</t>
        </is>
      </c>
      <c r="B117" s="20" t="inlineStr">
        <is>
          <t>00044</t>
        </is>
      </c>
      <c r="C117" s="19" t="inlineStr">
        <is>
          <t>Тюльпан Голландия***</t>
        </is>
      </c>
      <c r="D117" s="21" t="n">
        <v>69.90000000000001</v>
      </c>
    </row>
    <row r="118">
      <c r="A118" s="19" t="inlineStr">
        <is>
          <t>цветы срезка</t>
        </is>
      </c>
      <c r="B118" s="20" t="inlineStr">
        <is>
          <t>00535</t>
        </is>
      </c>
      <c r="C118" s="19" t="inlineStr">
        <is>
          <t>Флокс***</t>
        </is>
      </c>
      <c r="D118" s="21" t="n">
        <v>79.90000000000001</v>
      </c>
    </row>
    <row r="119">
      <c r="A119" s="19" t="inlineStr">
        <is>
          <t>цветы срезка</t>
        </is>
      </c>
      <c r="B119" s="20" t="inlineStr">
        <is>
          <t>00144</t>
        </is>
      </c>
      <c r="C119" s="19" t="inlineStr">
        <is>
          <t>фрезия***</t>
        </is>
      </c>
      <c r="D119" s="21" t="n">
        <v>99.90000000000001</v>
      </c>
    </row>
    <row r="120">
      <c r="A120" s="19" t="inlineStr">
        <is>
          <t>цветы срезка</t>
        </is>
      </c>
      <c r="B120" s="20" t="inlineStr">
        <is>
          <t>00935</t>
        </is>
      </c>
      <c r="C120" s="19" t="inlineStr">
        <is>
          <t>Хризантема кустовая АЛТАЙ  100-115 гр ***</t>
        </is>
      </c>
      <c r="D120" s="21" t="n">
        <v>75.90000000000001</v>
      </c>
    </row>
    <row r="121">
      <c r="A121" s="19" t="inlineStr">
        <is>
          <t>цветы срезка</t>
        </is>
      </c>
      <c r="B121" s="20" t="inlineStr">
        <is>
          <t>00676</t>
        </is>
      </c>
      <c r="C121" s="19" t="inlineStr">
        <is>
          <t>Хризантема кустовая Голландия Балтика  Белая***</t>
        </is>
      </c>
      <c r="D121" s="21" t="n">
        <v>69.90000000000001</v>
      </c>
    </row>
    <row r="122">
      <c r="A122" s="19" t="inlineStr">
        <is>
          <t>цветы срезка</t>
        </is>
      </c>
      <c r="B122" s="20" t="inlineStr">
        <is>
          <t>00045</t>
        </is>
      </c>
      <c r="C122" s="19" t="inlineStr">
        <is>
          <t>Хризантема кустовая Голландия цветная***</t>
        </is>
      </c>
      <c r="D122" s="21" t="n">
        <v>69.90000000000001</v>
      </c>
    </row>
    <row r="123">
      <c r="A123" s="19" t="inlineStr">
        <is>
          <t>цветы срезка</t>
        </is>
      </c>
      <c r="B123" s="20" t="inlineStr">
        <is>
          <t>00046</t>
        </is>
      </c>
      <c r="C123" s="19" t="inlineStr">
        <is>
          <t>Хризантема одноголовая***</t>
        </is>
      </c>
      <c r="D123" s="21" t="n">
        <v>99.90000000000001</v>
      </c>
    </row>
    <row r="124">
      <c r="A124" s="19" t="inlineStr">
        <is>
          <t>цветы срезка</t>
        </is>
      </c>
      <c r="B124" s="20" t="inlineStr">
        <is>
          <t>00956</t>
        </is>
      </c>
      <c r="C124" s="19" t="inlineStr">
        <is>
          <t>Хризантема одноголовая МАГНУМ***</t>
        </is>
      </c>
      <c r="D124" s="21" t="n">
        <v>99.90000000000001</v>
      </c>
    </row>
    <row r="125">
      <c r="A125" s="19" t="inlineStr">
        <is>
          <t>цветы срезка</t>
        </is>
      </c>
      <c r="B125" s="20" t="inlineStr">
        <is>
          <t>00190</t>
        </is>
      </c>
      <c r="C125" s="19" t="inlineStr">
        <is>
          <t>целлозия***</t>
        </is>
      </c>
      <c r="D125" s="21" t="n">
        <v>129.9</v>
      </c>
    </row>
    <row r="126">
      <c r="A126" s="19" t="inlineStr">
        <is>
          <t>цветы срезка</t>
        </is>
      </c>
      <c r="B126" s="20" t="inlineStr">
        <is>
          <t>01019</t>
        </is>
      </c>
      <c r="C126" s="19" t="inlineStr">
        <is>
          <t>Цефал***</t>
        </is>
      </c>
      <c r="D126" s="21" t="n">
        <v>89.90000000000001</v>
      </c>
    </row>
    <row r="127">
      <c r="A127" s="19" t="inlineStr">
        <is>
          <t>цветы срезка</t>
        </is>
      </c>
      <c r="B127" s="20" t="inlineStr">
        <is>
          <t>00047</t>
        </is>
      </c>
      <c r="C127" s="19" t="inlineStr">
        <is>
          <t>Цимбидиум большой Опт (цена за ветку)***</t>
        </is>
      </c>
      <c r="D127" s="21" t="n">
        <v>890</v>
      </c>
    </row>
    <row r="128">
      <c r="A128" s="19" t="inlineStr">
        <is>
          <t>цветы срезка</t>
        </is>
      </c>
      <c r="B128" s="20" t="inlineStr">
        <is>
          <t>01032</t>
        </is>
      </c>
      <c r="C128" s="19" t="inlineStr">
        <is>
          <t>Цинара***</t>
        </is>
      </c>
      <c r="D128" s="21" t="n">
        <v>79.90000000000001</v>
      </c>
    </row>
    <row r="129">
      <c r="A129" s="19" t="inlineStr">
        <is>
          <t>цветы срезка</t>
        </is>
      </c>
      <c r="B129" s="20" t="inlineStr">
        <is>
          <t>00048</t>
        </is>
      </c>
      <c r="C129" s="19" t="inlineStr">
        <is>
          <t>Чех сад кустовая 30 см***</t>
        </is>
      </c>
      <c r="D129" s="21" t="n">
        <v>49.9</v>
      </c>
    </row>
    <row r="130">
      <c r="A130" s="19" t="inlineStr">
        <is>
          <t>цветы срезка</t>
        </is>
      </c>
      <c r="B130" s="20" t="inlineStr">
        <is>
          <t>00671</t>
        </is>
      </c>
      <c r="C130" s="19" t="inlineStr">
        <is>
          <t>Чех Сад кустовая 30 см Бомбастик***</t>
        </is>
      </c>
      <c r="D130" s="21" t="n">
        <v>59.9</v>
      </c>
    </row>
    <row r="131">
      <c r="A131" s="19" t="inlineStr">
        <is>
          <t>цветы срезка</t>
        </is>
      </c>
      <c r="B131" s="20" t="inlineStr">
        <is>
          <t>00981</t>
        </is>
      </c>
      <c r="C131" s="19" t="inlineStr">
        <is>
          <t>Чех Сад кустовая 50см***</t>
        </is>
      </c>
      <c r="D131" s="21" t="n">
        <v>90.90000000000001</v>
      </c>
    </row>
    <row r="132">
      <c r="A132" s="19" t="inlineStr">
        <is>
          <t>цветы срезка</t>
        </is>
      </c>
      <c r="B132" s="20" t="inlineStr">
        <is>
          <t>00668</t>
        </is>
      </c>
      <c r="C132" s="19" t="inlineStr">
        <is>
          <t>Чех Сад кустовая Бомбастик 40 см***</t>
        </is>
      </c>
      <c r="D132" s="21" t="n">
        <v>76.90000000000001</v>
      </c>
    </row>
    <row r="133">
      <c r="A133" s="19" t="inlineStr">
        <is>
          <t>цветы срезка</t>
        </is>
      </c>
      <c r="B133" s="20" t="inlineStr">
        <is>
          <t>00669</t>
        </is>
      </c>
      <c r="C133" s="19" t="inlineStr">
        <is>
          <t>Чех Сад кустовая  Бомбастик 50 см***</t>
        </is>
      </c>
      <c r="D133" s="21" t="n">
        <v>90.90000000000001</v>
      </c>
    </row>
    <row r="134">
      <c r="A134" s="19" t="inlineStr">
        <is>
          <t>цветы срезка</t>
        </is>
      </c>
      <c r="B134" s="20" t="inlineStr">
        <is>
          <t>00670</t>
        </is>
      </c>
      <c r="C134" s="19" t="inlineStr">
        <is>
          <t>Чех сад кустовая Бомбастик 60 см***</t>
        </is>
      </c>
      <c r="D134" s="21" t="n">
        <v>103.9</v>
      </c>
    </row>
    <row r="135">
      <c r="A135" s="19" t="inlineStr">
        <is>
          <t>цветы срезка</t>
        </is>
      </c>
      <c r="B135" s="20" t="inlineStr">
        <is>
          <t>00052</t>
        </is>
      </c>
      <c r="C135" s="19" t="inlineStr">
        <is>
          <t>Чех сад одноголовая 30 см***</t>
        </is>
      </c>
      <c r="D135" s="21" t="n">
        <v>49.9</v>
      </c>
    </row>
    <row r="136">
      <c r="A136" s="19" t="inlineStr">
        <is>
          <t>цветы срезка</t>
        </is>
      </c>
      <c r="B136" s="20" t="inlineStr">
        <is>
          <t>00053</t>
        </is>
      </c>
      <c r="C136" s="19" t="inlineStr">
        <is>
          <t>Чех сад одноголовая 40 см***</t>
        </is>
      </c>
      <c r="D136" s="21" t="n">
        <v>33.9</v>
      </c>
    </row>
    <row r="137">
      <c r="A137" s="19" t="inlineStr">
        <is>
          <t>цветы срезка</t>
        </is>
      </c>
      <c r="B137" s="20" t="inlineStr">
        <is>
          <t>00054</t>
        </is>
      </c>
      <c r="C137" s="19" t="inlineStr">
        <is>
          <t>Чех сад одноголовая 50 см***</t>
        </is>
      </c>
      <c r="D137" s="21" t="n">
        <v>40.9</v>
      </c>
    </row>
    <row r="138">
      <c r="A138" s="19" t="inlineStr">
        <is>
          <t>цветы срезка</t>
        </is>
      </c>
      <c r="B138" s="20" t="inlineStr">
        <is>
          <t>00055</t>
        </is>
      </c>
      <c r="C138" s="19" t="inlineStr">
        <is>
          <t>Чех сад одноголовая 60 см***</t>
        </is>
      </c>
      <c r="D138" s="21" t="n">
        <v>47.9</v>
      </c>
    </row>
    <row r="139">
      <c r="A139" s="19" t="inlineStr">
        <is>
          <t>цветы срезка</t>
        </is>
      </c>
      <c r="B139" s="20" t="inlineStr">
        <is>
          <t>00056</t>
        </is>
      </c>
      <c r="C139" s="19" t="inlineStr">
        <is>
          <t>Чех сад одноголовая 70 см***</t>
        </is>
      </c>
      <c r="D139" s="21" t="n">
        <v>54.9</v>
      </c>
    </row>
    <row r="140">
      <c r="A140" s="19" t="inlineStr">
        <is>
          <t>цветы срезка</t>
        </is>
      </c>
      <c r="B140" s="20" t="inlineStr">
        <is>
          <t>00350</t>
        </is>
      </c>
      <c r="C140" s="19" t="inlineStr">
        <is>
          <t>эвкалипт***</t>
        </is>
      </c>
      <c r="D140" s="21" t="n">
        <v>390</v>
      </c>
    </row>
    <row r="141">
      <c r="A141" s="19" t="inlineStr">
        <is>
          <t>цветы срезка</t>
        </is>
      </c>
      <c r="B141" s="20" t="inlineStr">
        <is>
          <t>00537</t>
        </is>
      </c>
      <c r="C141" s="19" t="inlineStr">
        <is>
          <t>Эквадор радужный-синий 60 см***</t>
        </is>
      </c>
      <c r="D141" s="21" t="n">
        <v>131.9</v>
      </c>
    </row>
    <row r="142">
      <c r="A142" s="19" t="inlineStr">
        <is>
          <t>цветы срезка</t>
        </is>
      </c>
      <c r="B142" s="20" t="inlineStr">
        <is>
          <t>00568</t>
        </is>
      </c>
      <c r="C142" s="19" t="inlineStr">
        <is>
          <t>эквадор радужный -синий70 см</t>
        </is>
      </c>
      <c r="D142" s="21" t="n">
        <v>141.9</v>
      </c>
    </row>
    <row r="143">
      <c r="A143" s="19" t="inlineStr">
        <is>
          <t>цветы срезка</t>
        </is>
      </c>
      <c r="B143" s="20" t="inlineStr">
        <is>
          <t>00296</t>
        </is>
      </c>
      <c r="C143" s="19" t="inlineStr">
        <is>
          <t>эрингиум***</t>
        </is>
      </c>
      <c r="D143" s="21" t="n">
        <v>119.9</v>
      </c>
    </row>
    <row r="144">
      <c r="A144" s="19" t="inlineStr">
        <is>
          <t>цветы срезка</t>
        </is>
      </c>
      <c r="B144" s="20" t="inlineStr">
        <is>
          <t>01113</t>
        </is>
      </c>
      <c r="C144" s="19" t="inlineStr">
        <is>
          <t>дендробиум срезка***</t>
        </is>
      </c>
      <c r="D144" s="21" t="n">
        <v>129.9</v>
      </c>
    </row>
    <row r="145">
      <c r="A145" s="19" t="inlineStr">
        <is>
          <t>цветы срезка</t>
        </is>
      </c>
      <c r="B145" s="20" t="inlineStr">
        <is>
          <t>00333</t>
        </is>
      </c>
      <c r="C145" s="19" t="inlineStr">
        <is>
          <t>пион***</t>
        </is>
      </c>
      <c r="D145" s="21" t="n">
        <v>149.9</v>
      </c>
    </row>
    <row r="146">
      <c r="A146" s="19" t="inlineStr">
        <is>
          <t>цветы срезка</t>
        </is>
      </c>
      <c r="B146" s="20" t="inlineStr">
        <is>
          <t>01148</t>
        </is>
      </c>
      <c r="C146" s="19" t="inlineStr">
        <is>
          <t>Кермек снег КРАСНОДАР***</t>
        </is>
      </c>
      <c r="D146" s="21" t="n">
        <v>750</v>
      </c>
    </row>
    <row r="147">
      <c r="A147" s="19" t="inlineStr">
        <is>
          <t>цветы срезка</t>
        </is>
      </c>
      <c r="B147" s="20" t="inlineStr">
        <is>
          <t>01155</t>
        </is>
      </c>
      <c r="C147" s="19" t="inlineStr">
        <is>
          <t>Кипарис бисерный КРАСНОДАР ***</t>
        </is>
      </c>
      <c r="D147" s="21" t="n">
        <v>1090</v>
      </c>
    </row>
    <row r="148">
      <c r="A148" s="19" t="inlineStr">
        <is>
          <t>цветы срезка</t>
        </is>
      </c>
      <c r="B148" s="20" t="inlineStr">
        <is>
          <t>01149</t>
        </is>
      </c>
      <c r="C148" s="19" t="inlineStr">
        <is>
          <t>Лавовишня КРАСНОДАР ***</t>
        </is>
      </c>
      <c r="D148" s="21" t="n">
        <v>670</v>
      </c>
    </row>
    <row r="149">
      <c r="A149" s="19" t="inlineStr">
        <is>
          <t>цветы срезка</t>
        </is>
      </c>
      <c r="B149" s="20" t="inlineStr">
        <is>
          <t>01153</t>
        </is>
      </c>
      <c r="C149" s="19" t="inlineStr">
        <is>
          <t>Мережка КРАСНОДАР***</t>
        </is>
      </c>
      <c r="D149" s="21" t="n">
        <v>670</v>
      </c>
    </row>
    <row r="150">
      <c r="A150" s="19" t="inlineStr">
        <is>
          <t>цветы срезка</t>
        </is>
      </c>
      <c r="B150" s="20" t="inlineStr">
        <is>
          <t>01152</t>
        </is>
      </c>
      <c r="C150" s="19" t="inlineStr">
        <is>
          <t>Кипарис с шишкой КРАСНОДАР***</t>
        </is>
      </c>
      <c r="D150" s="21" t="n">
        <v>1090</v>
      </c>
    </row>
    <row r="151">
      <c r="A151" s="19" t="inlineStr">
        <is>
          <t>цветы срезка</t>
        </is>
      </c>
      <c r="B151" s="20" t="inlineStr">
        <is>
          <t>01150</t>
        </is>
      </c>
      <c r="C151" s="19" t="inlineStr">
        <is>
          <t>Олеандр КРАСНОДАР***</t>
        </is>
      </c>
      <c r="D151" s="21" t="n">
        <v>670</v>
      </c>
    </row>
    <row r="152">
      <c r="A152" s="19" t="inlineStr">
        <is>
          <t>цветы срезка</t>
        </is>
      </c>
      <c r="B152" s="20" t="inlineStr">
        <is>
          <t>01154</t>
        </is>
      </c>
      <c r="C152" s="19" t="inlineStr">
        <is>
          <t>Туя лавсан КРАСНОДАР***</t>
        </is>
      </c>
      <c r="D152" s="21" t="n">
        <v>900</v>
      </c>
    </row>
    <row r="153">
      <c r="A153" s="19" t="inlineStr">
        <is>
          <t>цветы срезка</t>
        </is>
      </c>
      <c r="B153" s="20" t="inlineStr">
        <is>
          <t>00607</t>
        </is>
      </c>
      <c r="C153" s="19" t="inlineStr">
        <is>
          <t>Кампанула***</t>
        </is>
      </c>
      <c r="D153" s="21" t="n">
        <v>179.9</v>
      </c>
    </row>
    <row r="154">
      <c r="A154" s="19" t="inlineStr">
        <is>
          <t>цветы срезка</t>
        </is>
      </c>
      <c r="B154" s="20" t="inlineStr">
        <is>
          <t>01074</t>
        </is>
      </c>
      <c r="C154" s="19" t="inlineStr">
        <is>
          <t>аспарагус белый***</t>
        </is>
      </c>
      <c r="D154" s="21" t="n">
        <v>119.9</v>
      </c>
    </row>
    <row r="155">
      <c r="A155" s="19" t="inlineStr">
        <is>
          <t>цветы срезка</t>
        </is>
      </c>
      <c r="B155" s="20" t="inlineStr">
        <is>
          <t>00492</t>
        </is>
      </c>
      <c r="C155" s="19" t="inlineStr">
        <is>
          <t>нобилис***</t>
        </is>
      </c>
      <c r="D155" s="21" t="n">
        <v>2290</v>
      </c>
    </row>
    <row r="156">
      <c r="A156" s="19" t="inlineStr">
        <is>
          <t>цветы срезка</t>
        </is>
      </c>
      <c r="B156" s="20" t="inlineStr">
        <is>
          <t>01040</t>
        </is>
      </c>
      <c r="C156" s="19" t="inlineStr">
        <is>
          <t>зд Роза Россия 40см ***</t>
        </is>
      </c>
      <c r="D156" s="21" t="n">
        <v>54.9</v>
      </c>
    </row>
    <row r="157">
      <c r="A157" s="19" t="inlineStr">
        <is>
          <t>цветы срезка</t>
        </is>
      </c>
      <c r="B157" s="20" t="inlineStr">
        <is>
          <t>01015</t>
        </is>
      </c>
      <c r="C157" s="19" t="inlineStr">
        <is>
          <t>ЗД Роза России 50 см***</t>
        </is>
      </c>
      <c r="D157" s="21" t="n">
        <v>67.90000000000001</v>
      </c>
    </row>
    <row r="158">
      <c r="A158" s="19" t="inlineStr">
        <is>
          <t>цветы срезка</t>
        </is>
      </c>
      <c r="B158" s="20" t="inlineStr">
        <is>
          <t>01016</t>
        </is>
      </c>
      <c r="C158" s="19" t="inlineStr">
        <is>
          <t>ЗД Роза России 60 см***</t>
        </is>
      </c>
      <c r="D158" s="21" t="n">
        <v>77.90000000000001</v>
      </c>
    </row>
    <row r="159">
      <c r="A159" s="19" t="inlineStr">
        <is>
          <t>цветы срезка</t>
        </is>
      </c>
      <c r="B159" s="20" t="inlineStr">
        <is>
          <t>00939</t>
        </is>
      </c>
      <c r="C159" s="19" t="inlineStr">
        <is>
          <t>Эустома PREMIUM***</t>
        </is>
      </c>
      <c r="D159" s="21" t="n">
        <v>169.9</v>
      </c>
    </row>
    <row r="160">
      <c r="A160" s="19" t="inlineStr">
        <is>
          <t>цветы срезка</t>
        </is>
      </c>
      <c r="B160" s="20" t="inlineStr">
        <is>
          <t>01183</t>
        </is>
      </c>
      <c r="C160" s="19" t="inlineStr">
        <is>
          <t>Хризантема   кустовая Голландия  Бакарди  белая ***</t>
        </is>
      </c>
      <c r="D160" s="21" t="n">
        <v>69.90000000000001</v>
      </c>
    </row>
    <row r="161">
      <c r="A161" s="19" t="inlineStr">
        <is>
          <t>цветы срезка</t>
        </is>
      </c>
      <c r="B161" s="20" t="inlineStr">
        <is>
          <t>01184</t>
        </is>
      </c>
      <c r="C161" s="19" t="inlineStr">
        <is>
          <t>Хризантема кустовая Алтай***</t>
        </is>
      </c>
      <c r="D161" s="21" t="n">
        <v>75.90000000000001</v>
      </c>
    </row>
    <row r="162">
      <c r="A162" s="19" t="inlineStr">
        <is>
          <t>цветы срезка</t>
        </is>
      </c>
      <c r="B162" s="20" t="inlineStr">
        <is>
          <t>01185</t>
        </is>
      </c>
      <c r="C162" s="19" t="inlineStr">
        <is>
          <t>Эустома***</t>
        </is>
      </c>
      <c r="D162" s="21" t="n">
        <v>169.9</v>
      </c>
    </row>
    <row r="163">
      <c r="A163" s="19" t="inlineStr">
        <is>
          <t>цветы срезка</t>
        </is>
      </c>
      <c r="B163" s="20" t="inlineStr">
        <is>
          <t>01192</t>
        </is>
      </c>
      <c r="C163" s="19" t="inlineStr">
        <is>
          <t>краспедия крашеная ***</t>
        </is>
      </c>
      <c r="D163" s="21" t="n">
        <v>69.90000000000001</v>
      </c>
    </row>
    <row r="164">
      <c r="A164" s="19" t="inlineStr">
        <is>
          <t>цветы срезка</t>
        </is>
      </c>
      <c r="B164" s="20" t="inlineStr">
        <is>
          <t>00736</t>
        </is>
      </c>
      <c r="C164" s="19" t="inlineStr">
        <is>
          <t>Амарантус***</t>
        </is>
      </c>
      <c r="D164" s="21" t="n">
        <v>119.9</v>
      </c>
    </row>
    <row r="165">
      <c r="A165" s="19" t="inlineStr">
        <is>
          <t>цветы срезка</t>
        </is>
      </c>
      <c r="B165" s="20" t="inlineStr">
        <is>
          <t>01188</t>
        </is>
      </c>
      <c r="C165" s="19" t="inlineStr">
        <is>
          <t>Сантини рози вайт рози пинк***</t>
        </is>
      </c>
      <c r="D165" s="21" t="n">
        <v>79.90000000000001</v>
      </c>
    </row>
    <row r="166">
      <c r="A166" s="19" t="inlineStr">
        <is>
          <t>цветы срезка</t>
        </is>
      </c>
      <c r="B166" s="20" t="inlineStr">
        <is>
          <t>00900</t>
        </is>
      </c>
      <c r="C166" s="19" t="inlineStr">
        <is>
          <t>Тюльпан пионовидный***</t>
        </is>
      </c>
      <c r="D166" s="21" t="n">
        <v>69.90000000000001</v>
      </c>
    </row>
    <row r="167">
      <c r="A167" s="19" t="inlineStr">
        <is>
          <t>цветы срезка</t>
        </is>
      </c>
      <c r="B167" s="20" t="inlineStr">
        <is>
          <t>01005</t>
        </is>
      </c>
      <c r="C167" s="19" t="inlineStr">
        <is>
          <t>Гербера Цветополис/Флорентика***</t>
        </is>
      </c>
      <c r="D167" s="21" t="n">
        <v>64.90000000000001</v>
      </c>
    </row>
    <row r="168">
      <c r="A168" s="19" t="inlineStr">
        <is>
          <t>цветы срезка</t>
        </is>
      </c>
      <c r="B168" s="20" t="inlineStr">
        <is>
          <t>00511</t>
        </is>
      </c>
      <c r="C168" s="19" t="inlineStr">
        <is>
          <t>Гвоздика турция***</t>
        </is>
      </c>
      <c r="D168" s="21" t="n">
        <v>39.9</v>
      </c>
    </row>
    <row r="169">
      <c r="A169" s="19" t="inlineStr">
        <is>
          <t>цветы срезка</t>
        </is>
      </c>
      <c r="B169" s="20" t="inlineStr">
        <is>
          <t>00563</t>
        </is>
      </c>
      <c r="C169" s="19" t="inlineStr">
        <is>
          <t>Мимоза коробка ***</t>
        </is>
      </c>
      <c r="D169" s="21" t="n">
        <v>4990</v>
      </c>
    </row>
    <row r="170">
      <c r="A170" s="19" t="inlineStr">
        <is>
          <t>цветы срезка</t>
        </is>
      </c>
      <c r="B170" s="20" t="inlineStr">
        <is>
          <t>01207</t>
        </is>
      </c>
      <c r="C170" s="19" t="inlineStr">
        <is>
          <t>Гринтик ТУРЦИЯ***</t>
        </is>
      </c>
      <c r="D170" s="21" t="n">
        <v>59.9</v>
      </c>
    </row>
    <row r="171">
      <c r="A171" s="19" t="inlineStr">
        <is>
          <t>цветы срезка</t>
        </is>
      </c>
      <c r="B171" s="20" t="inlineStr">
        <is>
          <t>00756</t>
        </is>
      </c>
      <c r="C171" s="19" t="inlineStr">
        <is>
          <t>Эустома Китай пачка ***</t>
        </is>
      </c>
      <c r="D171" s="21" t="n">
        <v>1090</v>
      </c>
    </row>
    <row r="172">
      <c r="A172" s="19" t="inlineStr">
        <is>
          <t>цветы срезка</t>
        </is>
      </c>
      <c r="B172" s="20" t="inlineStr">
        <is>
          <t>01208</t>
        </is>
      </c>
      <c r="C172" s="19" t="inlineStr">
        <is>
          <t>ЛИЛИЯ обычная КИТАЙ***</t>
        </is>
      </c>
      <c r="D172" s="21" t="n">
        <v>299</v>
      </c>
    </row>
    <row r="173">
      <c r="A173" s="19" t="inlineStr">
        <is>
          <t>цветы срезка</t>
        </is>
      </c>
      <c r="B173" s="20" t="inlineStr">
        <is>
          <t>01209</t>
        </is>
      </c>
      <c r="C173" s="19" t="inlineStr">
        <is>
          <t>ЛИЛИЯ пионовидная КИТАЙ***</t>
        </is>
      </c>
      <c r="D173" s="21" t="n">
        <v>299</v>
      </c>
    </row>
    <row r="174">
      <c r="A174" s="19" t="inlineStr">
        <is>
          <t>цветы срезка</t>
        </is>
      </c>
      <c r="B174" s="20" t="inlineStr">
        <is>
          <t>01210</t>
        </is>
      </c>
      <c r="C174" s="19" t="inlineStr">
        <is>
          <t>ПОДСОЛНУХ КИТАЙ***</t>
        </is>
      </c>
      <c r="D174" s="21" t="n">
        <v>139.9</v>
      </c>
    </row>
    <row r="175">
      <c r="A175" s="19" t="inlineStr">
        <is>
          <t>цветы срезка</t>
        </is>
      </c>
      <c r="B175" s="20" t="inlineStr">
        <is>
          <t>01211</t>
        </is>
      </c>
      <c r="C175" s="19" t="inlineStr">
        <is>
          <t>Ранункулюс КИТАЙ***</t>
        </is>
      </c>
      <c r="D175" s="21" t="n">
        <v>149.9</v>
      </c>
    </row>
    <row r="176">
      <c r="A176" s="19" t="inlineStr">
        <is>
          <t>цветы срезка</t>
        </is>
      </c>
      <c r="B176" s="20" t="inlineStr">
        <is>
          <t>01213</t>
        </is>
      </c>
      <c r="C176" s="19" t="inlineStr">
        <is>
          <t>Роза одноголовая КИТАЙ***</t>
        </is>
      </c>
      <c r="D176" s="21" t="n">
        <v>45</v>
      </c>
    </row>
    <row r="177">
      <c r="A177" s="19" t="inlineStr">
        <is>
          <t>цветы срезка</t>
        </is>
      </c>
      <c r="B177" s="20" t="inlineStr">
        <is>
          <t>01214</t>
        </is>
      </c>
      <c r="C177" s="19" t="inlineStr">
        <is>
          <t>Роза кустовая КИТАЙ***</t>
        </is>
      </c>
      <c r="D177" s="21" t="n">
        <v>149.9</v>
      </c>
    </row>
    <row r="178">
      <c r="A178" s="19" t="inlineStr">
        <is>
          <t>цветы срезка</t>
        </is>
      </c>
      <c r="B178" s="20" t="inlineStr">
        <is>
          <t>01215</t>
        </is>
      </c>
      <c r="C178" s="19" t="inlineStr">
        <is>
          <t>Гипсофила КИТАЙ банч ***</t>
        </is>
      </c>
      <c r="D178" s="21" t="n">
        <v>1390</v>
      </c>
    </row>
    <row r="179">
      <c r="A179" s="19" t="inlineStr">
        <is>
          <t>цветы срезка</t>
        </is>
      </c>
      <c r="B179" s="20" t="inlineStr">
        <is>
          <t>01212</t>
        </is>
      </c>
      <c r="C179" s="19" t="inlineStr">
        <is>
          <t>Гвоздика КИТАЙ***</t>
        </is>
      </c>
      <c r="D179" s="21" t="n">
        <v>33.9</v>
      </c>
    </row>
    <row r="180">
      <c r="A180" s="19" t="inlineStr">
        <is>
          <t>цветы срезка</t>
        </is>
      </c>
      <c r="B180" s="20" t="inlineStr">
        <is>
          <t>01218</t>
        </is>
      </c>
      <c r="C180" s="19" t="inlineStr">
        <is>
          <t>Вибурнум***</t>
        </is>
      </c>
      <c r="D180" s="21" t="n">
        <v>249.9</v>
      </c>
    </row>
    <row r="181">
      <c r="A181" s="19" t="inlineStr">
        <is>
          <t>цветы срезка</t>
        </is>
      </c>
      <c r="B181" s="20" t="inlineStr">
        <is>
          <t>01221</t>
        </is>
      </c>
      <c r="C181" s="19" t="inlineStr">
        <is>
          <t>Декогрум***</t>
        </is>
      </c>
      <c r="D181" s="21" t="n">
        <v>99.90000000000001</v>
      </c>
    </row>
    <row r="182">
      <c r="A182" s="19" t="inlineStr">
        <is>
          <t>цветы срезка</t>
        </is>
      </c>
      <c r="B182" s="20" t="inlineStr">
        <is>
          <t>01222</t>
        </is>
      </c>
      <c r="C182" s="19" t="inlineStr">
        <is>
          <t>Прионус***</t>
        </is>
      </c>
      <c r="D182" s="21" t="n">
        <v>100</v>
      </c>
    </row>
    <row r="183">
      <c r="A183" s="19" t="inlineStr">
        <is>
          <t>цветы срезка</t>
        </is>
      </c>
      <c r="B183" s="20" t="inlineStr">
        <is>
          <t>01094</t>
        </is>
      </c>
      <c r="C183" s="19" t="inlineStr">
        <is>
          <t>Роза ГОРКУНОВ 70 см одног***</t>
        </is>
      </c>
      <c r="D183" s="21" t="n">
        <v>87.90000000000001</v>
      </c>
    </row>
    <row r="184">
      <c r="A184" s="19" t="inlineStr">
        <is>
          <t>цветы срезка</t>
        </is>
      </c>
      <c r="B184" s="20" t="inlineStr">
        <is>
          <t>01231</t>
        </is>
      </c>
      <c r="C184" s="19" t="inlineStr">
        <is>
          <t>Орхидея в Горшке 2 ствола***</t>
        </is>
      </c>
      <c r="D184" s="21" t="n">
        <v>799</v>
      </c>
    </row>
    <row r="185">
      <c r="A185" s="19" t="inlineStr">
        <is>
          <t>цветы срезка</t>
        </is>
      </c>
      <c r="B185" s="20" t="inlineStr">
        <is>
          <t>01232</t>
        </is>
      </c>
      <c r="C185" s="19" t="inlineStr">
        <is>
          <t>Флорентика Роза А2 одноголовая***</t>
        </is>
      </c>
      <c r="D185" s="21" t="n">
        <v>30.9</v>
      </c>
    </row>
    <row r="186">
      <c r="A186" s="19" t="inlineStr">
        <is>
          <t>цветы срезка</t>
        </is>
      </c>
      <c r="B186" s="20" t="inlineStr">
        <is>
          <t>01233</t>
        </is>
      </c>
      <c r="C186" s="19" t="inlineStr">
        <is>
          <t>Флорентика Роза А2 кустовая***</t>
        </is>
      </c>
      <c r="D186" s="21" t="n">
        <v>45.9</v>
      </c>
    </row>
    <row r="187">
      <c r="A187" s="19" t="inlineStr">
        <is>
          <t>цветы срезка</t>
        </is>
      </c>
      <c r="B187" s="20" t="inlineStr">
        <is>
          <t>01235</t>
        </is>
      </c>
      <c r="C187" s="19" t="inlineStr">
        <is>
          <t>гениста***</t>
        </is>
      </c>
      <c r="D187" s="21" t="n">
        <v>499</v>
      </c>
    </row>
    <row r="188">
      <c r="A188" s="19" t="inlineStr">
        <is>
          <t>цветы срезка</t>
        </is>
      </c>
      <c r="B188" s="20" t="inlineStr">
        <is>
          <t>01236</t>
        </is>
      </c>
      <c r="C188" s="19" t="inlineStr">
        <is>
          <t>Форси***</t>
        </is>
      </c>
      <c r="D188" s="21" t="n">
        <v>119.9</v>
      </c>
    </row>
    <row r="189">
      <c r="A189" s="19" t="inlineStr">
        <is>
          <t>цветы срезка</t>
        </is>
      </c>
      <c r="B189" s="20" t="inlineStr">
        <is>
          <t>01234</t>
        </is>
      </c>
      <c r="C189" s="19" t="inlineStr">
        <is>
          <t>Чаеномелис***</t>
        </is>
      </c>
      <c r="D189" s="21" t="n">
        <v>375</v>
      </c>
    </row>
    <row r="190">
      <c r="A190" s="19" t="inlineStr">
        <is>
          <t>цветы срезка</t>
        </is>
      </c>
      <c r="B190" s="20" t="inlineStr">
        <is>
          <t>01238</t>
        </is>
      </c>
      <c r="C190" s="19" t="inlineStr">
        <is>
          <t>Флорентика 50 см ОДНОГ***</t>
        </is>
      </c>
      <c r="D190" s="21" t="n">
        <v>69.90000000000001</v>
      </c>
    </row>
    <row r="191">
      <c r="A191" s="19" t="inlineStr">
        <is>
          <t>цветы срезка</t>
        </is>
      </c>
      <c r="B191" s="20" t="inlineStr">
        <is>
          <t>01239</t>
        </is>
      </c>
      <c r="C191" s="19" t="inlineStr">
        <is>
          <t>Флорентика 60 см ОДНОГ***</t>
        </is>
      </c>
      <c r="D191" s="21" t="n">
        <v>79.90000000000001</v>
      </c>
    </row>
    <row r="192">
      <c r="A192" s="19" t="inlineStr">
        <is>
          <t>цветы срезка</t>
        </is>
      </c>
      <c r="B192" s="20" t="inlineStr">
        <is>
          <t>01241</t>
        </is>
      </c>
      <c r="C192" s="19" t="inlineStr">
        <is>
          <t>Гермини Флореника***</t>
        </is>
      </c>
      <c r="D192" s="21" t="n">
        <v>42.9</v>
      </c>
    </row>
    <row r="193">
      <c r="A193" s="19" t="inlineStr">
        <is>
          <t>цветы срезка</t>
        </is>
      </c>
      <c r="B193" s="20" t="inlineStr">
        <is>
          <t>01243</t>
        </is>
      </c>
      <c r="C193" s="19" t="inlineStr">
        <is>
          <t>АКЦИЯ Роза кустовая ФЛОРЕНТИКА 50 см***</t>
        </is>
      </c>
      <c r="D193" s="21" t="n">
        <v>94.90000000000001</v>
      </c>
    </row>
    <row r="194">
      <c r="A194" s="19" t="inlineStr">
        <is>
          <t>цветы срезка</t>
        </is>
      </c>
      <c r="B194" s="20" t="inlineStr">
        <is>
          <t>01244</t>
        </is>
      </c>
      <c r="C194" s="19" t="inlineStr">
        <is>
          <t>АКЦИЯ Роза кустовая ФЛОРЕНТИКА 60 см ***</t>
        </is>
      </c>
      <c r="D194" s="21" t="n">
        <v>125.9</v>
      </c>
    </row>
    <row r="195">
      <c r="A195" s="19" t="inlineStr">
        <is>
          <t>цветы срезка</t>
        </is>
      </c>
      <c r="B195" s="20" t="inlineStr">
        <is>
          <t>01248</t>
        </is>
      </c>
      <c r="C195" s="19" t="inlineStr">
        <is>
          <t>фокси ветки***</t>
        </is>
      </c>
      <c r="D195" s="21" t="n">
        <v>100</v>
      </c>
    </row>
    <row r="196">
      <c r="A196" s="19" t="inlineStr">
        <is>
          <t>цветы срезка</t>
        </is>
      </c>
      <c r="B196" s="20" t="inlineStr">
        <is>
          <t>01250</t>
        </is>
      </c>
      <c r="C196" s="19" t="inlineStr">
        <is>
          <t>Мускари***</t>
        </is>
      </c>
      <c r="D196" s="21" t="n">
        <v>89.90000000000001</v>
      </c>
    </row>
    <row r="197">
      <c r="A197" s="19" t="inlineStr">
        <is>
          <t>цветы срезка</t>
        </is>
      </c>
      <c r="B197" s="20" t="inlineStr">
        <is>
          <t>01249</t>
        </is>
      </c>
      <c r="C197" s="19" t="inlineStr">
        <is>
          <t>хеллиборус***</t>
        </is>
      </c>
      <c r="D197" s="21" t="n">
        <v>119.9</v>
      </c>
    </row>
    <row r="198">
      <c r="A198" s="19" t="inlineStr">
        <is>
          <t>цветы срезка</t>
        </is>
      </c>
      <c r="B198" s="20" t="inlineStr">
        <is>
          <t>01251</t>
        </is>
      </c>
      <c r="C198" s="19" t="inlineStr">
        <is>
          <t>сирурия***</t>
        </is>
      </c>
      <c r="D198" s="21" t="n">
        <v>299.9</v>
      </c>
    </row>
    <row r="199">
      <c r="A199" s="19" t="inlineStr">
        <is>
          <t>цветы срезка</t>
        </is>
      </c>
      <c r="B199" s="20" t="inlineStr">
        <is>
          <t>00380</t>
        </is>
      </c>
      <c r="C199" s="19" t="inlineStr">
        <is>
          <t>Роза Армения кустовая 50 см пачка***</t>
        </is>
      </c>
      <c r="D199" s="21" t="n">
        <v>1100</v>
      </c>
    </row>
    <row r="200">
      <c r="A200" s="19" t="inlineStr">
        <is>
          <t>цветы срезка</t>
        </is>
      </c>
      <c r="B200" s="20" t="inlineStr">
        <is>
          <t>00379</t>
        </is>
      </c>
      <c r="C200" s="19" t="inlineStr">
        <is>
          <t>Роза Армения кустовая 60 см пачка***</t>
        </is>
      </c>
      <c r="D200" s="21" t="n">
        <v>1250</v>
      </c>
    </row>
    <row r="201">
      <c r="A201" s="19" t="inlineStr">
        <is>
          <t>цветы срезка</t>
        </is>
      </c>
      <c r="B201" s="20" t="inlineStr">
        <is>
          <t>00634</t>
        </is>
      </c>
      <c r="C201" s="19" t="inlineStr">
        <is>
          <t>Роза кустовая Армения 70см пачка***</t>
        </is>
      </c>
      <c r="D201" s="21" t="n">
        <v>1350</v>
      </c>
    </row>
    <row r="202">
      <c r="A202" s="19" t="inlineStr">
        <is>
          <t>цветы срезка</t>
        </is>
      </c>
      <c r="B202" s="20" t="inlineStr">
        <is>
          <t>01252</t>
        </is>
      </c>
      <c r="C202" s="19" t="inlineStr">
        <is>
          <t>Блоесмтак***</t>
        </is>
      </c>
      <c r="D202" s="21" t="n">
        <v>119.9</v>
      </c>
    </row>
    <row r="203">
      <c r="A203" s="19" t="inlineStr">
        <is>
          <t>цветы срезка</t>
        </is>
      </c>
      <c r="B203" s="20" t="inlineStr">
        <is>
          <t>00837</t>
        </is>
      </c>
      <c r="C203" s="19" t="inlineStr">
        <is>
          <t>Гвоздика Грин Тик Китай шт***</t>
        </is>
      </c>
      <c r="D203" s="21" t="n">
        <v>49.9</v>
      </c>
    </row>
    <row r="204">
      <c r="A204" s="19" t="inlineStr">
        <is>
          <t>цветы срезка</t>
        </is>
      </c>
      <c r="B204" s="20" t="inlineStr">
        <is>
          <t>01220</t>
        </is>
      </c>
      <c r="C204" s="19" t="inlineStr">
        <is>
          <t>гвоздика китай кустовая***</t>
        </is>
      </c>
      <c r="D204" s="21" t="n">
        <v>39.9</v>
      </c>
    </row>
    <row r="205">
      <c r="A205" s="19" t="inlineStr">
        <is>
          <t>цветы срезка</t>
        </is>
      </c>
      <c r="B205" s="20" t="inlineStr">
        <is>
          <t>01259</t>
        </is>
      </c>
      <c r="C205" s="19" t="inlineStr">
        <is>
          <t>вибурн китай шт ***</t>
        </is>
      </c>
      <c r="D205" s="21" t="n">
        <v>129.9</v>
      </c>
    </row>
    <row r="206">
      <c r="A206" s="19" t="inlineStr">
        <is>
          <t>цветы срезка</t>
        </is>
      </c>
      <c r="B206" s="20" t="inlineStr">
        <is>
          <t>01262</t>
        </is>
      </c>
      <c r="C206" s="19" t="inlineStr">
        <is>
          <t>альстромерия китай***</t>
        </is>
      </c>
      <c r="D206" s="21" t="n">
        <v>29.9</v>
      </c>
    </row>
    <row r="207">
      <c r="A207" s="19" t="inlineStr">
        <is>
          <t>цветы срезка</t>
        </is>
      </c>
      <c r="B207" s="20" t="inlineStr">
        <is>
          <t>00793</t>
        </is>
      </c>
      <c r="C207" s="19" t="inlineStr">
        <is>
          <t>Эвкалипт Китай Бэби Блю, Ценерия***</t>
        </is>
      </c>
      <c r="D207" s="21" t="n">
        <v>1190</v>
      </c>
    </row>
    <row r="208">
      <c r="A208" s="19" t="inlineStr">
        <is>
          <t>цветы срезка</t>
        </is>
      </c>
      <c r="B208" s="20" t="inlineStr">
        <is>
          <t>00854</t>
        </is>
      </c>
      <c r="C208" s="19" t="inlineStr">
        <is>
          <t>Танацетум Китай шт***</t>
        </is>
      </c>
      <c r="D208" s="21" t="n">
        <v>49.9</v>
      </c>
    </row>
    <row r="209">
      <c r="A209" s="19" t="inlineStr">
        <is>
          <t>цветы срезка</t>
        </is>
      </c>
      <c r="B209" s="20" t="inlineStr">
        <is>
          <t>00795</t>
        </is>
      </c>
      <c r="C209" s="19" t="inlineStr">
        <is>
          <t>Статица Китай пачка***</t>
        </is>
      </c>
      <c r="D209" s="21" t="n">
        <v>850</v>
      </c>
    </row>
    <row r="210">
      <c r="A210" s="19" t="inlineStr">
        <is>
          <t>цветы срезка</t>
        </is>
      </c>
      <c r="B210" s="20" t="inlineStr">
        <is>
          <t>00757</t>
        </is>
      </c>
      <c r="C210" s="19" t="inlineStr">
        <is>
          <t>Лимониум Китай Банч***</t>
        </is>
      </c>
      <c r="D210" s="21" t="n">
        <v>790</v>
      </c>
    </row>
    <row r="211">
      <c r="A211" s="19" t="inlineStr">
        <is>
          <t>цветы срезка</t>
        </is>
      </c>
      <c r="B211" s="20" t="inlineStr">
        <is>
          <t>01264</t>
        </is>
      </c>
      <c r="C211" s="19" t="inlineStr">
        <is>
          <t>озатамус китай банч***</t>
        </is>
      </c>
      <c r="D211" s="21" t="n">
        <v>490</v>
      </c>
    </row>
    <row r="212">
      <c r="A212" s="19" t="inlineStr">
        <is>
          <t>цветы срезка</t>
        </is>
      </c>
      <c r="B212" s="20" t="inlineStr">
        <is>
          <t>01268</t>
        </is>
      </c>
      <c r="C212" s="19" t="inlineStr">
        <is>
          <t>Эквадор на воде цветной***</t>
        </is>
      </c>
      <c r="D212" s="21" t="n">
        <v>52</v>
      </c>
    </row>
    <row r="213">
      <c r="A213" s="19" t="inlineStr">
        <is>
          <t>цветы срезка</t>
        </is>
      </c>
      <c r="B213" s="20" t="inlineStr">
        <is>
          <t>01269</t>
        </is>
      </c>
      <c r="C213" s="19" t="inlineStr">
        <is>
          <t>Эквадор ЭКСПЛОРЕР с воды***</t>
        </is>
      </c>
      <c r="D213" s="21" t="n">
        <v>67</v>
      </c>
    </row>
    <row r="214">
      <c r="A214" s="19" t="inlineStr">
        <is>
          <t>цветы срезка</t>
        </is>
      </c>
      <c r="B214" s="20" t="inlineStr">
        <is>
          <t>01270</t>
        </is>
      </c>
      <c r="C214" s="19" t="inlineStr">
        <is>
          <t>Гвоздика НА ВОДЕ ***</t>
        </is>
      </c>
      <c r="D214" s="21" t="n">
        <v>25</v>
      </c>
    </row>
    <row r="215">
      <c r="A215" s="19" t="inlineStr">
        <is>
          <t>цветы срезка</t>
        </is>
      </c>
      <c r="B215" s="20" t="inlineStr">
        <is>
          <t>01283</t>
        </is>
      </c>
      <c r="C215" s="19" t="inlineStr">
        <is>
          <t>хелеборус***</t>
        </is>
      </c>
      <c r="D215" s="21" t="n">
        <v>119.9</v>
      </c>
    </row>
    <row r="216">
      <c r="A216" s="19" t="inlineStr">
        <is>
          <t>цветы срезка</t>
        </is>
      </c>
      <c r="B216" s="20" t="inlineStr">
        <is>
          <t>01289</t>
        </is>
      </c>
      <c r="C216" s="19" t="inlineStr">
        <is>
          <t>Роза Горкунов 80 см одног***</t>
        </is>
      </c>
      <c r="D216" s="21" t="n">
        <v>97.90000000000001</v>
      </c>
    </row>
    <row r="217">
      <c r="A217" s="19" t="inlineStr">
        <is>
          <t>цветы срезка</t>
        </is>
      </c>
      <c r="B217" s="20" t="inlineStr">
        <is>
          <t>01290</t>
        </is>
      </c>
      <c r="C217" s="19" t="inlineStr">
        <is>
          <t>Флорентика 40 см ОДНОГ***</t>
        </is>
      </c>
      <c r="D217" s="21" t="n">
        <v>59.9</v>
      </c>
    </row>
    <row r="218">
      <c r="A218" s="19" t="inlineStr">
        <is>
          <t>цветы срезка</t>
        </is>
      </c>
      <c r="B218" s="20" t="inlineStr">
        <is>
          <t>01294</t>
        </is>
      </c>
      <c r="C218" s="19" t="inlineStr">
        <is>
          <t>Дельфиниум Китай ***</t>
        </is>
      </c>
      <c r="D218" s="21" t="n">
        <v>129.9</v>
      </c>
    </row>
    <row r="219">
      <c r="A219" s="19" t="inlineStr">
        <is>
          <t>цветы срезка</t>
        </is>
      </c>
      <c r="B219" s="20" t="inlineStr">
        <is>
          <t>01298</t>
        </is>
      </c>
      <c r="C219" s="19" t="inlineStr">
        <is>
          <t>Маргаритка Китай***</t>
        </is>
      </c>
      <c r="D219" s="21" t="n">
        <v>490</v>
      </c>
    </row>
    <row r="220">
      <c r="A220" s="19" t="inlineStr">
        <is>
          <t>цветы срезка</t>
        </is>
      </c>
      <c r="B220" s="20" t="inlineStr">
        <is>
          <t>01307</t>
        </is>
      </c>
      <c r="C220" s="19" t="inlineStr">
        <is>
          <t>Флорентика роза А2 Одног РЕД, ДЖУМИЛИЯ***</t>
        </is>
      </c>
      <c r="D220" s="21" t="n">
        <v>33.9</v>
      </c>
    </row>
    <row r="221">
      <c r="A221" s="19" t="inlineStr">
        <is>
          <t>цветы срезка</t>
        </is>
      </c>
      <c r="B221" s="20" t="inlineStr">
        <is>
          <t>01309</t>
        </is>
      </c>
      <c r="C221" s="19" t="inlineStr">
        <is>
          <t>Роза одног СТУПИНО 50 см***</t>
        </is>
      </c>
      <c r="D221" s="21" t="n">
        <v>69.90000000000001</v>
      </c>
    </row>
    <row r="222">
      <c r="A222" s="19" t="inlineStr">
        <is>
          <t>цветы срезка</t>
        </is>
      </c>
      <c r="B222" s="20" t="inlineStr">
        <is>
          <t>01310</t>
        </is>
      </c>
      <c r="C222" s="19" t="inlineStr">
        <is>
          <t>Роза одног СТУПИНО 60 см***</t>
        </is>
      </c>
      <c r="D222" s="21" t="n">
        <v>77.90000000000001</v>
      </c>
    </row>
    <row r="223">
      <c r="A223" s="19" t="inlineStr">
        <is>
          <t>цветы срезка</t>
        </is>
      </c>
      <c r="B223" s="20" t="inlineStr">
        <is>
          <t>01311</t>
        </is>
      </c>
      <c r="C223" s="19" t="inlineStr">
        <is>
          <t>Роза одног СТУПИНО 70 см***</t>
        </is>
      </c>
      <c r="D223" s="21" t="n">
        <v>86.90000000000001</v>
      </c>
    </row>
    <row r="224">
      <c r="A224" s="19" t="inlineStr">
        <is>
          <t>цветы срезка</t>
        </is>
      </c>
      <c r="B224" s="20" t="inlineStr">
        <is>
          <t>01312</t>
        </is>
      </c>
      <c r="C224" s="19" t="inlineStr">
        <is>
          <t>Роза одног СТУПИНО ПИОН 70 см***</t>
        </is>
      </c>
      <c r="D224" s="21" t="n">
        <v>99.90000000000001</v>
      </c>
    </row>
    <row r="225">
      <c r="A225" s="19" t="inlineStr">
        <is>
          <t>цветы срезка</t>
        </is>
      </c>
      <c r="B225" s="20" t="inlineStr">
        <is>
          <t>01313</t>
        </is>
      </c>
      <c r="C225" s="19" t="inlineStr">
        <is>
          <t>Роза куст СТУПИНО 40 см***</t>
        </is>
      </c>
      <c r="D225" s="21" t="n">
        <v>79.90000000000001</v>
      </c>
    </row>
    <row r="226">
      <c r="A226" s="19" t="inlineStr">
        <is>
          <t>цветы срезка</t>
        </is>
      </c>
      <c r="B226" s="20" t="inlineStr">
        <is>
          <t>01315</t>
        </is>
      </c>
      <c r="C226" s="19" t="inlineStr">
        <is>
          <t>Роза куст СТУПИНО ПИОН 50 см***</t>
        </is>
      </c>
      <c r="D226" s="21" t="n">
        <v>169.9</v>
      </c>
    </row>
    <row r="227">
      <c r="A227" s="19" t="inlineStr">
        <is>
          <t>цветы срезка</t>
        </is>
      </c>
      <c r="B227" s="20" t="inlineStr">
        <is>
          <t>01316</t>
        </is>
      </c>
      <c r="C227" s="19" t="inlineStr">
        <is>
          <t>Роза куст СТУПИНО ПИОН 60 см***</t>
        </is>
      </c>
      <c r="D227" s="21" t="n">
        <v>179.9</v>
      </c>
    </row>
    <row r="228">
      <c r="A228" s="19" t="inlineStr">
        <is>
          <t>цветы срезка</t>
        </is>
      </c>
      <c r="B228" s="20" t="inlineStr">
        <is>
          <t>01314</t>
        </is>
      </c>
      <c r="C228" s="19" t="inlineStr">
        <is>
          <t>Роза куст СТУПИНО 60 см ***</t>
        </is>
      </c>
      <c r="D228" s="21" t="n">
        <v>139.9</v>
      </c>
    </row>
    <row r="229">
      <c r="A229" s="19" t="inlineStr">
        <is>
          <t>цветы срезка</t>
        </is>
      </c>
      <c r="B229" s="20" t="inlineStr">
        <is>
          <t>01320</t>
        </is>
      </c>
      <c r="C229" s="19" t="inlineStr">
        <is>
          <t>Чех сад 30 см одног ПИОН***</t>
        </is>
      </c>
      <c r="D229" s="21" t="n">
        <v>49.9</v>
      </c>
    </row>
    <row r="230">
      <c r="A230" s="19" t="inlineStr">
        <is>
          <t>цветы срезка</t>
        </is>
      </c>
      <c r="B230" s="20" t="inlineStr">
        <is>
          <t>01321</t>
        </is>
      </c>
      <c r="C230" s="19" t="inlineStr">
        <is>
          <t>Чех сад 40 см одног ПИОН***</t>
        </is>
      </c>
      <c r="D230" s="21" t="n">
        <v>59.9</v>
      </c>
    </row>
    <row r="231">
      <c r="A231" s="19" t="inlineStr">
        <is>
          <t>цветы срезка</t>
        </is>
      </c>
      <c r="B231" s="20" t="inlineStr">
        <is>
          <t>01345</t>
        </is>
      </c>
      <c r="C231" s="19" t="inlineStr">
        <is>
          <t>Пион красный КРАСНОДАР***</t>
        </is>
      </c>
      <c r="D231" s="21" t="n">
        <v>0</v>
      </c>
    </row>
    <row r="232">
      <c r="A232" s="19" t="inlineStr">
        <is>
          <t>цветы срезка</t>
        </is>
      </c>
      <c r="B232" s="20" t="inlineStr">
        <is>
          <t>01347</t>
        </is>
      </c>
      <c r="C232" s="19" t="inlineStr">
        <is>
          <t>Танацетум КРАСНОДАР пачка ***</t>
        </is>
      </c>
      <c r="D232" s="21" t="n">
        <v>750</v>
      </c>
    </row>
    <row r="233">
      <c r="A233" s="19" t="inlineStr">
        <is>
          <t>цветы срезка</t>
        </is>
      </c>
      <c r="B233" s="20" t="inlineStr">
        <is>
          <t>01348</t>
        </is>
      </c>
      <c r="C233" s="19" t="inlineStr">
        <is>
          <t>Ромашка КРАСНОДАР пачка ***</t>
        </is>
      </c>
      <c r="D233" s="21" t="n">
        <v>850</v>
      </c>
    </row>
    <row r="234">
      <c r="A234" s="19" t="inlineStr">
        <is>
          <t>цветы срезка</t>
        </is>
      </c>
      <c r="B234" s="20" t="inlineStr">
        <is>
          <t>01355</t>
        </is>
      </c>
      <c r="C234" s="19" t="inlineStr">
        <is>
          <t>Хризантема куст  РОССИЯ ***</t>
        </is>
      </c>
      <c r="D234" s="21" t="n">
        <v>55.9</v>
      </c>
    </row>
    <row r="235">
      <c r="A235" s="19" t="inlineStr">
        <is>
          <t>цветы срезка</t>
        </is>
      </c>
      <c r="B235" s="20" t="inlineStr">
        <is>
          <t>01359</t>
        </is>
      </c>
      <c r="C235" s="19" t="inlineStr">
        <is>
          <t>Флорентика 70 см ОДНОГ***</t>
        </is>
      </c>
      <c r="D235" s="21" t="n">
        <v>89.90000000000001</v>
      </c>
    </row>
    <row r="236">
      <c r="A236" s="19" t="inlineStr">
        <is>
          <t>цветы срезка</t>
        </is>
      </c>
      <c r="B236" s="20" t="inlineStr">
        <is>
          <t>01360</t>
        </is>
      </c>
      <c r="C236" s="19" t="inlineStr">
        <is>
          <t>роза Горкунов кустовая 50 см ПИОНОВ***</t>
        </is>
      </c>
      <c r="D236" s="21" t="n">
        <v>200</v>
      </c>
    </row>
    <row r="237">
      <c r="A237" s="19" t="inlineStr">
        <is>
          <t>цветы срезка</t>
        </is>
      </c>
      <c r="B237" s="20" t="inlineStr">
        <is>
          <t>01361</t>
        </is>
      </c>
      <c r="C237" s="19" t="inlineStr">
        <is>
          <t>роза Горкунов кустовая 60 см ПИОНОВ***</t>
        </is>
      </c>
      <c r="D237" s="21" t="n">
        <v>225</v>
      </c>
    </row>
    <row r="238">
      <c r="A238" s="19" t="inlineStr">
        <is>
          <t>цветы срезка</t>
        </is>
      </c>
      <c r="B238" s="20" t="inlineStr">
        <is>
          <t>01362</t>
        </is>
      </c>
      <c r="C238" s="19" t="inlineStr">
        <is>
          <t>роза Горкунов кустовая 70 см ПИОНОВ***</t>
        </is>
      </c>
      <c r="D238" s="21" t="n">
        <v>237.9</v>
      </c>
    </row>
    <row r="239">
      <c r="A239" s="19" t="inlineStr">
        <is>
          <t>цветы срезка</t>
        </is>
      </c>
      <c r="B239" s="20" t="inlineStr">
        <is>
          <t>01363</t>
        </is>
      </c>
      <c r="C239" s="19" t="inlineStr">
        <is>
          <t>роза ГОРКУНОВ 70 см КУСТ***</t>
        </is>
      </c>
      <c r="D239" s="21" t="n">
        <v>175</v>
      </c>
    </row>
    <row r="240">
      <c r="A240" s="19" t="inlineStr">
        <is>
          <t>цветы срезка</t>
        </is>
      </c>
      <c r="B240" s="20" t="inlineStr">
        <is>
          <t>01075</t>
        </is>
      </c>
      <c r="C240" s="19" t="inlineStr">
        <is>
          <t>Роза Армения одноголовая 50 см ***</t>
        </is>
      </c>
      <c r="D240" s="21" t="n">
        <v>49.9</v>
      </c>
    </row>
    <row r="241">
      <c r="A241" s="19" t="inlineStr">
        <is>
          <t>цветы срезка</t>
        </is>
      </c>
      <c r="B241" s="20" t="inlineStr">
        <is>
          <t>01076</t>
        </is>
      </c>
      <c r="C241" s="19" t="inlineStr">
        <is>
          <t>Роза Армения одноголовая 60 см ***</t>
        </is>
      </c>
      <c r="D241" s="21" t="n">
        <v>59.9</v>
      </c>
    </row>
    <row r="242">
      <c r="A242" s="19" t="inlineStr">
        <is>
          <t>цветы срезка</t>
        </is>
      </c>
      <c r="B242" s="20" t="inlineStr">
        <is>
          <t>01077</t>
        </is>
      </c>
      <c r="C242" s="19" t="inlineStr">
        <is>
          <t>Роза Армения одноголовая 70 см ***</t>
        </is>
      </c>
      <c r="D242" s="21" t="n">
        <v>69.90000000000001</v>
      </c>
    </row>
    <row r="243">
      <c r="A243" s="19" t="inlineStr">
        <is>
          <t>цветы срезка</t>
        </is>
      </c>
      <c r="B243" s="20" t="inlineStr">
        <is>
          <t>01366</t>
        </is>
      </c>
      <c r="C243" s="19" t="inlineStr">
        <is>
          <t>Маттиола ЭКВАДОР ***</t>
        </is>
      </c>
      <c r="D243" s="21" t="n">
        <v>91.90000000000001</v>
      </c>
    </row>
    <row r="244">
      <c r="A244" s="19" t="inlineStr">
        <is>
          <t>цветы срезка</t>
        </is>
      </c>
      <c r="B244" s="20" t="inlineStr">
        <is>
          <t>01386</t>
        </is>
      </c>
      <c r="C244" s="19" t="inlineStr">
        <is>
          <t>Калла КРАСНОДАР***</t>
        </is>
      </c>
      <c r="D244" s="21" t="n">
        <v>125</v>
      </c>
    </row>
    <row r="245">
      <c r="A245" s="19" t="inlineStr">
        <is>
          <t>цветы срезка</t>
        </is>
      </c>
      <c r="B245" s="20" t="inlineStr">
        <is>
          <t>01387</t>
        </is>
      </c>
      <c r="C245" s="19" t="inlineStr">
        <is>
          <t>Альстромерия 60 см КРАСНОДАР***</t>
        </is>
      </c>
      <c r="D245" s="21" t="n">
        <v>39.9</v>
      </c>
    </row>
    <row r="246">
      <c r="A246" s="19" t="inlineStr">
        <is>
          <t>цветы срезка</t>
        </is>
      </c>
      <c r="B246" s="20" t="inlineStr">
        <is>
          <t>00992</t>
        </is>
      </c>
      <c r="C246" s="19" t="inlineStr">
        <is>
          <t>Роза Россия кустовая  Подосинки 50 см***</t>
        </is>
      </c>
      <c r="D246" s="21" t="n">
        <v>52.9</v>
      </c>
    </row>
    <row r="247">
      <c r="A247" s="19" t="inlineStr">
        <is>
          <t>цветы срезка</t>
        </is>
      </c>
      <c r="B247" s="20" t="inlineStr">
        <is>
          <t>00998</t>
        </is>
      </c>
      <c r="C247" s="19" t="inlineStr">
        <is>
          <t>Роза России кустовая Подосинки 60 см***</t>
        </is>
      </c>
      <c r="D247" s="21" t="n">
        <v>67.90000000000001</v>
      </c>
    </row>
    <row r="248">
      <c r="A248" s="19" t="inlineStr">
        <is>
          <t>цветы срезка</t>
        </is>
      </c>
      <c r="B248" s="20" t="inlineStr">
        <is>
          <t>01409</t>
        </is>
      </c>
      <c r="C248" s="19" t="inlineStr">
        <is>
          <t>Лотос***</t>
        </is>
      </c>
      <c r="D248" s="21" t="n">
        <v>79</v>
      </c>
    </row>
    <row r="249">
      <c r="A249" s="19" t="inlineStr">
        <is>
          <t>цветы срезка</t>
        </is>
      </c>
      <c r="B249" s="20" t="inlineStr">
        <is>
          <t>01410</t>
        </is>
      </c>
      <c r="C249" s="19" t="inlineStr">
        <is>
          <t>Бульбинелла***</t>
        </is>
      </c>
      <c r="D249" s="21" t="n">
        <v>119</v>
      </c>
    </row>
    <row r="250">
      <c r="A250" s="19" t="inlineStr">
        <is>
          <t>цветы срезка</t>
        </is>
      </c>
      <c r="B250" s="20" t="inlineStr">
        <is>
          <t>01411</t>
        </is>
      </c>
      <c r="C250" s="19" t="inlineStr">
        <is>
          <t>Флорентика РЕД НАОМИ 50 см***</t>
        </is>
      </c>
      <c r="D250" s="21" t="n">
        <v>67.90000000000001</v>
      </c>
    </row>
    <row r="251">
      <c r="A251" s="19" t="inlineStr">
        <is>
          <t>цветы срезка</t>
        </is>
      </c>
      <c r="B251" s="20" t="inlineStr">
        <is>
          <t>01412</t>
        </is>
      </c>
      <c r="C251" s="19" t="inlineStr">
        <is>
          <t>Флорентика РЕД НАОМИ 60 см***</t>
        </is>
      </c>
      <c r="D251" s="21" t="n">
        <v>81</v>
      </c>
    </row>
    <row r="252">
      <c r="A252" s="19" t="inlineStr">
        <is>
          <t>цветы срезка</t>
        </is>
      </c>
      <c r="B252" s="20" t="inlineStr">
        <is>
          <t>01413</t>
        </is>
      </c>
      <c r="C252" s="19" t="inlineStr">
        <is>
          <t>Флорентика КУСТОВАЯ 50 см А1***</t>
        </is>
      </c>
      <c r="D252" s="21" t="n">
        <v>129.9</v>
      </c>
    </row>
    <row r="253">
      <c r="A253" s="19" t="inlineStr">
        <is>
          <t>цветы срезка</t>
        </is>
      </c>
      <c r="B253" s="20" t="inlineStr">
        <is>
          <t>01414</t>
        </is>
      </c>
      <c r="C253" s="19" t="inlineStr">
        <is>
          <t>Флорентика КУСТОВАЯ 60 см А1***</t>
        </is>
      </c>
      <c r="D253" s="21" t="n">
        <v>139.9</v>
      </c>
    </row>
    <row r="254">
      <c r="A254" s="19" t="inlineStr">
        <is>
          <t>цветы срезка</t>
        </is>
      </c>
      <c r="B254" s="20" t="inlineStr">
        <is>
          <t>01415</t>
        </is>
      </c>
      <c r="C254" s="19" t="inlineStr">
        <is>
          <t>Флорентика КУСТОВАЯ 70 см А1***</t>
        </is>
      </c>
      <c r="D254" s="21" t="n">
        <v>149.9</v>
      </c>
    </row>
    <row r="255">
      <c r="A255" s="19" t="inlineStr">
        <is>
          <t>цветы срезка</t>
        </is>
      </c>
      <c r="B255" s="20" t="inlineStr">
        <is>
          <t>01417</t>
        </is>
      </c>
      <c r="C255" s="19" t="inlineStr">
        <is>
          <t>Флорентика Абигейл 40 см ***</t>
        </is>
      </c>
      <c r="D255" s="21" t="n">
        <v>40.9</v>
      </c>
    </row>
    <row r="256">
      <c r="A256" s="19" t="inlineStr">
        <is>
          <t>цветы срезка</t>
        </is>
      </c>
      <c r="B256" s="20" t="inlineStr">
        <is>
          <t>01418</t>
        </is>
      </c>
      <c r="C256" s="19" t="inlineStr">
        <is>
          <t>Флорентика Абигейл 50 см***</t>
        </is>
      </c>
      <c r="D256" s="21" t="n">
        <v>60.9</v>
      </c>
    </row>
    <row r="257">
      <c r="A257" s="19" t="inlineStr">
        <is>
          <t>цветы срезка</t>
        </is>
      </c>
      <c r="B257" s="20" t="inlineStr">
        <is>
          <t>01419</t>
        </is>
      </c>
      <c r="C257" s="19" t="inlineStr">
        <is>
          <t>Флорентика Космик 40 см***</t>
        </is>
      </c>
      <c r="D257" s="21" t="n">
        <v>40.9</v>
      </c>
    </row>
    <row r="258">
      <c r="A258" s="19" t="inlineStr">
        <is>
          <t>цветы срезка</t>
        </is>
      </c>
      <c r="B258" s="20" t="inlineStr">
        <is>
          <t>01420</t>
        </is>
      </c>
      <c r="C258" s="19" t="inlineStr">
        <is>
          <t>Флорентика Космик 50 см ***</t>
        </is>
      </c>
      <c r="D258" s="21" t="n">
        <v>60.9</v>
      </c>
    </row>
    <row r="259">
      <c r="A259" s="19" t="inlineStr">
        <is>
          <t>цветы срезка</t>
        </is>
      </c>
      <c r="B259" s="20" t="inlineStr">
        <is>
          <t>01421</t>
        </is>
      </c>
      <c r="C259" s="19" t="inlineStr">
        <is>
          <t>Флорентика Эль Торо 40 см ***</t>
        </is>
      </c>
      <c r="D259" s="21" t="n">
        <v>40.9</v>
      </c>
    </row>
    <row r="260">
      <c r="A260" s="19" t="inlineStr">
        <is>
          <t>цветы срезка</t>
        </is>
      </c>
      <c r="B260" s="20" t="inlineStr">
        <is>
          <t>01422</t>
        </is>
      </c>
      <c r="C260" s="19" t="inlineStr">
        <is>
          <t>Флорентика Эль Торо 50 см ***</t>
        </is>
      </c>
      <c r="D260" s="21" t="n">
        <v>60.9</v>
      </c>
    </row>
    <row r="261">
      <c r="A261" s="19" t="inlineStr">
        <is>
          <t>цветы срезка</t>
        </is>
      </c>
      <c r="B261" s="20" t="inlineStr">
        <is>
          <t>01423</t>
        </is>
      </c>
      <c r="C261" s="19" t="inlineStr">
        <is>
          <t>Флорентика Аваланш 50 см ***</t>
        </is>
      </c>
      <c r="D261" s="21" t="n">
        <v>63.9</v>
      </c>
    </row>
    <row r="262">
      <c r="A262" s="19" t="inlineStr">
        <is>
          <t>цветы срезка</t>
        </is>
      </c>
      <c r="B262" s="20" t="inlineStr">
        <is>
          <t>01424</t>
        </is>
      </c>
      <c r="C262" s="19" t="inlineStr">
        <is>
          <t>Флорентика Пинк Аваланш 50 см ***</t>
        </is>
      </c>
      <c r="D262" s="21" t="n">
        <v>54</v>
      </c>
    </row>
    <row r="263">
      <c r="A263" s="19" t="inlineStr">
        <is>
          <t>цветы срезка</t>
        </is>
      </c>
      <c r="B263" s="20" t="inlineStr">
        <is>
          <t>01425</t>
        </is>
      </c>
      <c r="C263" s="19" t="inlineStr">
        <is>
          <t>Флорентика Пинк Аваланш 60 см ***</t>
        </is>
      </c>
      <c r="D263" s="21" t="n">
        <v>67.90000000000001</v>
      </c>
    </row>
    <row r="264">
      <c r="A264" s="19" t="inlineStr">
        <is>
          <t>цветы срезка</t>
        </is>
      </c>
      <c r="B264" s="20" t="inlineStr">
        <is>
          <t>01426</t>
        </is>
      </c>
      <c r="C264" s="19" t="inlineStr">
        <is>
          <t>Флорентика Кон Аморе 50 см ***</t>
        </is>
      </c>
      <c r="D264" s="21" t="n">
        <v>67.90000000000001</v>
      </c>
    </row>
    <row r="265">
      <c r="A265" s="19" t="inlineStr">
        <is>
          <t>цветы срезка</t>
        </is>
      </c>
      <c r="B265" s="20" t="inlineStr">
        <is>
          <t>01427</t>
        </is>
      </c>
      <c r="C265" s="19" t="inlineStr">
        <is>
          <t>Флорентика Джумилия 50 см ***</t>
        </is>
      </c>
      <c r="D265" s="21" t="n">
        <v>67.90000000000001</v>
      </c>
    </row>
    <row r="266">
      <c r="A266" s="19" t="inlineStr">
        <is>
          <t>цветы срезка</t>
        </is>
      </c>
      <c r="B266" s="20" t="inlineStr">
        <is>
          <t>01428</t>
        </is>
      </c>
      <c r="C266" s="19" t="inlineStr">
        <is>
          <t>Флорентика Джумилия 60 см ***</t>
        </is>
      </c>
      <c r="D266" s="21" t="n">
        <v>81</v>
      </c>
    </row>
    <row r="267">
      <c r="A267" s="19" t="inlineStr">
        <is>
          <t>цветы срезка</t>
        </is>
      </c>
      <c r="B267" s="20" t="inlineStr">
        <is>
          <t>01429</t>
        </is>
      </c>
      <c r="C267" s="19" t="inlineStr">
        <is>
          <t>Флорентика РЕД НАОМИ 40 см ***</t>
        </is>
      </c>
      <c r="D267" s="21" t="n">
        <v>60.9</v>
      </c>
    </row>
    <row r="268">
      <c r="A268" s="19" t="inlineStr">
        <is>
          <t>цветы срезка</t>
        </is>
      </c>
      <c r="B268" s="20" t="inlineStr">
        <is>
          <t>01430</t>
        </is>
      </c>
      <c r="C268" s="19" t="inlineStr">
        <is>
          <t>Флорентика КУСТ Кэйт Линн 50 см***</t>
        </is>
      </c>
      <c r="D268" s="21" t="n">
        <v>121.9</v>
      </c>
    </row>
    <row r="269">
      <c r="A269" s="19" t="inlineStr">
        <is>
          <t>цветы срезка</t>
        </is>
      </c>
      <c r="B269" s="20" t="inlineStr">
        <is>
          <t>01431</t>
        </is>
      </c>
      <c r="C269" s="19" t="inlineStr">
        <is>
          <t>Флорентика КУСТ Эксклюзив Сенсейшн 60 см ***</t>
        </is>
      </c>
      <c r="D269" s="21" t="n">
        <v>148.9</v>
      </c>
    </row>
    <row r="270">
      <c r="A270" s="19" t="inlineStr">
        <is>
          <t>цветы срезка</t>
        </is>
      </c>
      <c r="B270" s="20" t="inlineStr">
        <is>
          <t>01432</t>
        </is>
      </c>
      <c r="C270" s="19" t="inlineStr">
        <is>
          <t>Флорентика КУСТ Корал Йо-Йо 40 см ***</t>
        </is>
      </c>
      <c r="D270" s="21" t="n">
        <v>121.9</v>
      </c>
    </row>
    <row r="271">
      <c r="A271" s="19" t="inlineStr">
        <is>
          <t>цветы срезка</t>
        </is>
      </c>
      <c r="B271" s="20" t="inlineStr">
        <is>
          <t>01433</t>
        </is>
      </c>
      <c r="C271" s="19" t="inlineStr">
        <is>
          <t>Гортензия ГОЛЛАНДИЯ СРЕЗКА***</t>
        </is>
      </c>
      <c r="D271" s="21" t="n">
        <v>756</v>
      </c>
    </row>
    <row r="272">
      <c r="A272" s="19" t="inlineStr">
        <is>
          <t>цветы срезка</t>
        </is>
      </c>
      <c r="B272" s="20" t="inlineStr">
        <is>
          <t>01434</t>
        </is>
      </c>
      <c r="C272" s="19" t="inlineStr">
        <is>
          <t>Флорентика Джумилия 50 см ***</t>
        </is>
      </c>
      <c r="D272" s="21" t="n">
        <v>67.90000000000001</v>
      </c>
    </row>
    <row r="273">
      <c r="A273" s="19" t="inlineStr">
        <is>
          <t>цветы срезка</t>
        </is>
      </c>
      <c r="B273" s="20" t="inlineStr">
        <is>
          <t>01435</t>
        </is>
      </c>
      <c r="C273" s="19" t="inlineStr">
        <is>
          <t>Флорентика Аваланш 40 см ***</t>
        </is>
      </c>
      <c r="D273" s="21" t="n">
        <v>47.9</v>
      </c>
    </row>
    <row r="274">
      <c r="A274" s="19" t="inlineStr">
        <is>
          <t>цветы срезка</t>
        </is>
      </c>
      <c r="B274" s="20" t="inlineStr">
        <is>
          <t>01436</t>
        </is>
      </c>
      <c r="C274" s="19" t="inlineStr">
        <is>
          <t>Флорентика Аваланш 60 см ***</t>
        </is>
      </c>
      <c r="D274" s="21" t="n">
        <v>78.90000000000001</v>
      </c>
    </row>
    <row r="275">
      <c r="A275" s="19" t="inlineStr">
        <is>
          <t>цветы срезка</t>
        </is>
      </c>
      <c r="B275" s="20" t="inlineStr">
        <is>
          <t>01437</t>
        </is>
      </c>
      <c r="C275" s="19" t="inlineStr">
        <is>
          <t>Флореника КУСТ Кейт Линн 60 см ***</t>
        </is>
      </c>
      <c r="D275" s="21" t="n">
        <v>108</v>
      </c>
    </row>
    <row r="276">
      <c r="A276" s="19" t="inlineStr">
        <is>
          <t>цветы срезка</t>
        </is>
      </c>
      <c r="B276" s="20" t="inlineStr">
        <is>
          <t>01438</t>
        </is>
      </c>
      <c r="C276" s="19" t="inlineStr">
        <is>
          <t>Флорентика КУСТ Супер Сенсейшен 50 см ***</t>
        </is>
      </c>
      <c r="D276" s="21" t="n">
        <v>121.9</v>
      </c>
    </row>
    <row r="277">
      <c r="A277" s="19" t="inlineStr">
        <is>
          <t>цветы срезка</t>
        </is>
      </c>
      <c r="B277" s="20" t="inlineStr">
        <is>
          <t>01439</t>
        </is>
      </c>
      <c r="C277" s="19" t="inlineStr">
        <is>
          <t>Флорентика КУСТ Супер Сенсейшен 60 см ***</t>
        </is>
      </c>
      <c r="D277" s="21" t="n">
        <v>148.9</v>
      </c>
    </row>
    <row r="278">
      <c r="A278" s="19" t="inlineStr">
        <is>
          <t>цветы срезка</t>
        </is>
      </c>
      <c r="B278" s="20" t="inlineStr">
        <is>
          <t>01440</t>
        </is>
      </c>
      <c r="C278" s="19" t="inlineStr">
        <is>
          <t>Хризантема кустовая Россия А2***</t>
        </is>
      </c>
      <c r="D278" s="21" t="n">
        <v>29.9</v>
      </c>
    </row>
    <row r="279">
      <c r="A279" s="19" t="inlineStr">
        <is>
          <t>цветы срезка</t>
        </is>
      </c>
      <c r="B279" s="20" t="inlineStr">
        <is>
          <t>01441</t>
        </is>
      </c>
      <c r="C279" s="19" t="inlineStr">
        <is>
          <t>Флорентика Мисс Пигги 40 см***</t>
        </is>
      </c>
      <c r="D279" s="21" t="n">
        <v>47.9</v>
      </c>
    </row>
    <row r="280">
      <c r="A280" s="19" t="inlineStr">
        <is>
          <t>цветы срезка</t>
        </is>
      </c>
      <c r="B280" s="20" t="inlineStr">
        <is>
          <t>01442</t>
        </is>
      </c>
      <c r="C280" s="19" t="inlineStr">
        <is>
          <t>Флорентика Мисс Пигги 50 см ***</t>
        </is>
      </c>
      <c r="D280" s="21" t="n">
        <v>60.9</v>
      </c>
    </row>
    <row r="281">
      <c r="A281" s="19" t="inlineStr">
        <is>
          <t>цветы срезка</t>
        </is>
      </c>
      <c r="B281" s="20" t="inlineStr">
        <is>
          <t>01443</t>
        </is>
      </c>
      <c r="C281" s="19" t="inlineStr">
        <is>
          <t>Флорентика Мисс Пигги 60 см ***</t>
        </is>
      </c>
      <c r="D281" s="21" t="n">
        <v>74.90000000000001</v>
      </c>
    </row>
    <row r="282">
      <c r="A282" s="19" t="inlineStr">
        <is>
          <t>цветы срезка</t>
        </is>
      </c>
      <c r="B282" s="20" t="inlineStr">
        <is>
          <t>01444</t>
        </is>
      </c>
      <c r="C282" s="19" t="inlineStr">
        <is>
          <t>Флорентика Ривайвл 50 см***</t>
        </is>
      </c>
      <c r="D282" s="21" t="n">
        <v>63.9</v>
      </c>
    </row>
    <row r="283">
      <c r="A283" s="19" t="inlineStr">
        <is>
          <t>цветы срезка</t>
        </is>
      </c>
      <c r="B283" s="20" t="inlineStr">
        <is>
          <t>01445</t>
        </is>
      </c>
      <c r="C283" s="19" t="inlineStr">
        <is>
          <t>Флорентика Ривайвл 60 см***</t>
        </is>
      </c>
      <c r="D283" s="21" t="n">
        <v>78.90000000000001</v>
      </c>
    </row>
    <row r="284">
      <c r="A284" s="19" t="inlineStr">
        <is>
          <t>цветы срезка</t>
        </is>
      </c>
      <c r="B284" s="20" t="inlineStr">
        <is>
          <t>01446</t>
        </is>
      </c>
      <c r="C284" s="19" t="inlineStr">
        <is>
          <t>Флорентика Джумилия 40 см***</t>
        </is>
      </c>
      <c r="D284" s="21" t="n">
        <v>60.9</v>
      </c>
    </row>
    <row r="285">
      <c r="A285" s="19" t="inlineStr">
        <is>
          <t>цветы срезка</t>
        </is>
      </c>
      <c r="B285" s="20" t="inlineStr">
        <is>
          <t>01447</t>
        </is>
      </c>
      <c r="C285" s="19" t="inlineStr">
        <is>
          <t>Флорентика КУСТ Супер Сенсейшен 40 см ***</t>
        </is>
      </c>
      <c r="D285" s="21" t="n">
        <v>94.90000000000001</v>
      </c>
    </row>
    <row r="286">
      <c r="A286" s="19" t="inlineStr">
        <is>
          <t>цветы срезка</t>
        </is>
      </c>
      <c r="B286" s="20" t="inlineStr">
        <is>
          <t>01448</t>
        </is>
      </c>
      <c r="C286" s="19" t="inlineStr">
        <is>
          <t>Флорентика КУСТ Супер Сенсейшен 60 см ***</t>
        </is>
      </c>
      <c r="D286" s="21" t="n">
        <v>148.9</v>
      </c>
    </row>
    <row r="287">
      <c r="A287" s="19" t="inlineStr">
        <is>
          <t>цветы срезка</t>
        </is>
      </c>
      <c r="B287" s="20" t="inlineStr">
        <is>
          <t>01449</t>
        </is>
      </c>
      <c r="C287" s="19" t="inlineStr">
        <is>
          <t>Флорентика КУСТ Эксклюзив Сенсейшен 40 см ***</t>
        </is>
      </c>
      <c r="D287" s="21" t="n">
        <v>94.90000000000001</v>
      </c>
    </row>
    <row r="288">
      <c r="A288" s="19" t="inlineStr">
        <is>
          <t>цветы срезка</t>
        </is>
      </c>
      <c r="B288" s="20" t="inlineStr">
        <is>
          <t>01450</t>
        </is>
      </c>
      <c r="C288" s="19" t="inlineStr">
        <is>
          <t>Флорентика КУСТ Эксклюзив Сенсейшен 50 см ***</t>
        </is>
      </c>
      <c r="D288" s="21" t="n">
        <v>121.9</v>
      </c>
    </row>
    <row r="289">
      <c r="A289" s="19" t="inlineStr">
        <is>
          <t>цветы срезка</t>
        </is>
      </c>
      <c r="B289" s="20" t="inlineStr">
        <is>
          <t>01451</t>
        </is>
      </c>
      <c r="C289" s="19" t="inlineStr">
        <is>
          <t>Горкунов Белинда 50 см ***</t>
        </is>
      </c>
      <c r="D289" s="21" t="n">
        <v>67.90000000000001</v>
      </c>
    </row>
    <row r="290">
      <c r="A290" s="19" t="inlineStr">
        <is>
          <t>цветы срезка</t>
        </is>
      </c>
      <c r="B290" s="20" t="inlineStr">
        <is>
          <t>01452</t>
        </is>
      </c>
      <c r="C290" s="19" t="inlineStr">
        <is>
          <t>Горкунов Белинда 60 см ***</t>
        </is>
      </c>
      <c r="D290" s="21" t="n">
        <v>74.90000000000001</v>
      </c>
    </row>
    <row r="291">
      <c r="A291" s="19" t="inlineStr">
        <is>
          <t>цветы срезка</t>
        </is>
      </c>
      <c r="B291" s="20" t="inlineStr">
        <is>
          <t>01453</t>
        </is>
      </c>
      <c r="C291" s="19" t="inlineStr">
        <is>
          <t>Горкунов Эль Торо 50 см***</t>
        </is>
      </c>
      <c r="D291" s="21" t="n">
        <v>74.90000000000001</v>
      </c>
    </row>
    <row r="292">
      <c r="A292" s="19" t="inlineStr">
        <is>
          <t>цветы срезка</t>
        </is>
      </c>
      <c r="B292" s="20" t="inlineStr">
        <is>
          <t>01454</t>
        </is>
      </c>
      <c r="C292" s="19" t="inlineStr">
        <is>
          <t>Горкунов Джумилия 50 см***</t>
        </is>
      </c>
      <c r="D292" s="21" t="n">
        <v>81</v>
      </c>
    </row>
    <row r="293">
      <c r="A293" s="19" t="inlineStr">
        <is>
          <t>цветы срезка</t>
        </is>
      </c>
      <c r="B293" s="20" t="inlineStr">
        <is>
          <t>01455</t>
        </is>
      </c>
      <c r="C293" s="19" t="inlineStr">
        <is>
          <t>Горкунов Джумилия 60 см***</t>
        </is>
      </c>
      <c r="D293" s="21" t="n">
        <v>87.90000000000001</v>
      </c>
    </row>
    <row r="294">
      <c r="A294" s="19" t="inlineStr">
        <is>
          <t>цветы срезка</t>
        </is>
      </c>
      <c r="B294" s="20" t="inlineStr">
        <is>
          <t>01456</t>
        </is>
      </c>
      <c r="C294" s="19" t="inlineStr">
        <is>
          <t>Горкунов Джумилия 70 см ***</t>
        </is>
      </c>
      <c r="D294" s="21" t="n">
        <v>101.9</v>
      </c>
    </row>
    <row r="295">
      <c r="A295" s="19" t="inlineStr">
        <is>
          <t>цветы срезка</t>
        </is>
      </c>
      <c r="B295" s="20" t="inlineStr">
        <is>
          <t>01457</t>
        </is>
      </c>
      <c r="C295" s="19" t="inlineStr">
        <is>
          <t>Горкунов Лизебет 50 см***</t>
        </is>
      </c>
      <c r="D295" s="21" t="n">
        <v>81</v>
      </c>
    </row>
    <row r="296">
      <c r="A296" s="19" t="inlineStr">
        <is>
          <t>цветы срезка</t>
        </is>
      </c>
      <c r="B296" s="20" t="inlineStr">
        <is>
          <t>01458</t>
        </is>
      </c>
      <c r="C296" s="19" t="inlineStr">
        <is>
          <t>Горкунов Маритим 50 см***</t>
        </is>
      </c>
      <c r="D296" s="21" t="n">
        <v>67.90000000000001</v>
      </c>
    </row>
    <row r="297">
      <c r="A297" s="19" t="inlineStr">
        <is>
          <t>цветы срезка</t>
        </is>
      </c>
      <c r="B297" s="20" t="inlineStr">
        <is>
          <t>01459</t>
        </is>
      </c>
      <c r="C297" s="19" t="inlineStr">
        <is>
          <t>Горкунов Пенни Лейн 60 см***</t>
        </is>
      </c>
      <c r="D297" s="21" t="n">
        <v>81</v>
      </c>
    </row>
    <row r="298">
      <c r="A298" s="19" t="inlineStr">
        <is>
          <t>цветы срезка</t>
        </is>
      </c>
      <c r="B298" s="20" t="inlineStr">
        <is>
          <t>01460</t>
        </is>
      </c>
      <c r="C298" s="19" t="inlineStr">
        <is>
          <t>Горкунов Ред Наоми 50 см ***</t>
        </is>
      </c>
      <c r="D298" s="21" t="n">
        <v>81</v>
      </c>
    </row>
    <row r="299">
      <c r="A299" s="19" t="inlineStr">
        <is>
          <t>цветы срезка</t>
        </is>
      </c>
      <c r="B299" s="20" t="inlineStr">
        <is>
          <t>01461</t>
        </is>
      </c>
      <c r="C299" s="19" t="inlineStr">
        <is>
          <t>Горкунов Ред Наоми 60 см ***</t>
        </is>
      </c>
      <c r="D299" s="21" t="n">
        <v>87.90000000000001</v>
      </c>
    </row>
    <row r="300">
      <c r="A300" s="19" t="inlineStr">
        <is>
          <t>цветы срезка</t>
        </is>
      </c>
      <c r="B300" s="20" t="inlineStr">
        <is>
          <t>01462</t>
        </is>
      </c>
      <c r="C300" s="19" t="inlineStr">
        <is>
          <t>Горкунов КУСТ Беларусь 60 см***</t>
        </is>
      </c>
      <c r="D300" s="21" t="n">
        <v>168.9</v>
      </c>
    </row>
    <row r="301">
      <c r="A301" s="19" t="inlineStr">
        <is>
          <t>цветы срезка</t>
        </is>
      </c>
      <c r="B301" s="20" t="inlineStr">
        <is>
          <t>01463</t>
        </is>
      </c>
      <c r="C301" s="19" t="inlineStr">
        <is>
          <t>Горкунов КУСТ Черри Хеопс 60 см***</t>
        </is>
      </c>
      <c r="D301" s="21" t="n">
        <v>141.9</v>
      </c>
    </row>
    <row r="302">
      <c r="A302" s="19" t="inlineStr">
        <is>
          <t>цветы срезка</t>
        </is>
      </c>
      <c r="B302" s="20" t="inlineStr">
        <is>
          <t>01464</t>
        </is>
      </c>
      <c r="C302" s="19" t="inlineStr">
        <is>
          <t>Горкунов КУСТ Grandmas Katy 60 см***</t>
        </is>
      </c>
      <c r="D302" s="21" t="n">
        <v>182.9</v>
      </c>
    </row>
    <row r="303">
      <c r="A303" s="19" t="inlineStr">
        <is>
          <t>цветы срезка</t>
        </is>
      </c>
      <c r="B303" s="20" t="inlineStr">
        <is>
          <t>01465</t>
        </is>
      </c>
      <c r="C303" s="19" t="inlineStr">
        <is>
          <t>Горкунов КУСТ Lavander Bubbles 50 см***</t>
        </is>
      </c>
      <c r="D303" s="21" t="n">
        <v>222.9</v>
      </c>
    </row>
    <row r="304">
      <c r="A304" s="19" t="inlineStr">
        <is>
          <t>цветы срезка</t>
        </is>
      </c>
      <c r="B304" s="20" t="inlineStr">
        <is>
          <t>01466</t>
        </is>
      </c>
      <c r="C304" s="19" t="inlineStr">
        <is>
          <t>Горкунов КУСТ Lavander Bubbles 60 см***</t>
        </is>
      </c>
      <c r="D304" s="21" t="n">
        <v>249.9</v>
      </c>
    </row>
    <row r="305">
      <c r="A305" s="19" t="inlineStr">
        <is>
          <t>цветы срезка</t>
        </is>
      </c>
      <c r="B305" s="20" t="inlineStr">
        <is>
          <t>01467</t>
        </is>
      </c>
      <c r="C305" s="19" t="inlineStr">
        <is>
          <t>Горкунов КУСТ Odilia 50 см***</t>
        </is>
      </c>
      <c r="D305" s="21" t="n">
        <v>114.9</v>
      </c>
    </row>
    <row r="306">
      <c r="A306" s="19" t="inlineStr">
        <is>
          <t>цветы срезка</t>
        </is>
      </c>
      <c r="B306" s="20" t="inlineStr">
        <is>
          <t>01468</t>
        </is>
      </c>
      <c r="C306" s="19" t="inlineStr">
        <is>
          <t>Горкунов КУСТ Odilia 60 см***</t>
        </is>
      </c>
      <c r="D306" s="21" t="n">
        <v>128.9</v>
      </c>
    </row>
    <row r="307">
      <c r="A307" s="19" t="inlineStr">
        <is>
          <t>цветы срезка</t>
        </is>
      </c>
      <c r="B307" s="20" t="inlineStr">
        <is>
          <t>01469</t>
        </is>
      </c>
      <c r="C307" s="19" t="inlineStr">
        <is>
          <t>Горкунов КУСТ Silva Pink 50 см***</t>
        </is>
      </c>
      <c r="D307" s="21" t="n">
        <v>222.9</v>
      </c>
    </row>
    <row r="308">
      <c r="A308" s="19" t="inlineStr">
        <is>
          <t>цветы срезка</t>
        </is>
      </c>
      <c r="B308" s="20" t="inlineStr">
        <is>
          <t>01470</t>
        </is>
      </c>
      <c r="C308" s="19" t="inlineStr">
        <is>
          <t>Горкунов КУСТ Silva Pink 60 см***</t>
        </is>
      </c>
      <c r="D308" s="21" t="n">
        <v>249.9</v>
      </c>
    </row>
    <row r="309">
      <c r="A309" s="19" t="inlineStr">
        <is>
          <t>цветы срезка</t>
        </is>
      </c>
      <c r="B309" s="20" t="inlineStr">
        <is>
          <t>01471</t>
        </is>
      </c>
      <c r="C309" s="19" t="inlineStr">
        <is>
          <t>Роза Кения 37 см ***</t>
        </is>
      </c>
      <c r="D309" s="21" t="n">
        <v>32.9</v>
      </c>
    </row>
    <row r="310">
      <c r="A310" s="19" t="inlineStr">
        <is>
          <t>цветы срезка</t>
        </is>
      </c>
      <c r="B310" s="20" t="inlineStr">
        <is>
          <t>01472</t>
        </is>
      </c>
      <c r="C310" s="19" t="inlineStr">
        <is>
          <t>Роза Кения 42 см ***</t>
        </is>
      </c>
      <c r="D310" s="21" t="n">
        <v>34.9</v>
      </c>
    </row>
    <row r="311">
      <c r="A311" s="19" t="inlineStr">
        <is>
          <t>цветы срезка</t>
        </is>
      </c>
      <c r="B311" s="20" t="inlineStr">
        <is>
          <t>01474</t>
        </is>
      </c>
      <c r="C311" s="19" t="inlineStr">
        <is>
          <t>Флорентика КУСТ Беларусь 60 см***</t>
        </is>
      </c>
      <c r="D311" s="21" t="n">
        <v>148</v>
      </c>
    </row>
    <row r="312">
      <c r="A312" s="19" t="inlineStr">
        <is>
          <t>цветы срезка</t>
        </is>
      </c>
      <c r="B312" s="20" t="inlineStr">
        <is>
          <t>01473</t>
        </is>
      </c>
      <c r="C312" s="19" t="inlineStr">
        <is>
          <t>Роза Кения 60 см ОДНОГ***</t>
        </is>
      </c>
      <c r="D312" s="21" t="n">
        <v>65</v>
      </c>
    </row>
    <row r="313">
      <c r="A313" s="19" t="inlineStr">
        <is>
          <t>цветы срезка</t>
        </is>
      </c>
      <c r="B313" s="20" t="inlineStr">
        <is>
          <t>00874</t>
        </is>
      </c>
      <c r="C313" s="19" t="inlineStr">
        <is>
          <t>Роза кустовая КЕНИЯ 60 см***</t>
        </is>
      </c>
      <c r="D313" s="21" t="n">
        <v>135.9</v>
      </c>
    </row>
    <row r="314">
      <c r="A314" s="19" t="inlineStr">
        <is>
          <t>цветы срезка</t>
        </is>
      </c>
      <c r="B314" s="20" t="inlineStr">
        <is>
          <t>00887</t>
        </is>
      </c>
      <c r="C314" s="19" t="inlineStr">
        <is>
          <t>Роза кустовая Кения Пионовидная 60 см***</t>
        </is>
      </c>
      <c r="D314" s="21" t="n">
        <v>159.9</v>
      </c>
    </row>
    <row r="315">
      <c r="A315" s="19" t="inlineStr">
        <is>
          <t>цветы срезка</t>
        </is>
      </c>
      <c r="B315" s="20" t="inlineStr">
        <is>
          <t>01476</t>
        </is>
      </c>
      <c r="C315" s="19" t="inlineStr">
        <is>
          <t>Альстромерия Эквадор 60 см***</t>
        </is>
      </c>
      <c r="D315" s="21" t="n">
        <v>71.90000000000001</v>
      </c>
    </row>
    <row r="316">
      <c r="A316" s="19" t="inlineStr">
        <is>
          <t>цветы срезка</t>
        </is>
      </c>
      <c r="B316" s="20" t="inlineStr">
        <is>
          <t>01477</t>
        </is>
      </c>
      <c r="C316" s="19" t="inlineStr">
        <is>
          <t>Альстромерия Эквадор 70 см ***</t>
        </is>
      </c>
      <c r="D316" s="21" t="n">
        <v>76.90000000000001</v>
      </c>
    </row>
    <row r="317">
      <c r="A317" s="19" t="inlineStr">
        <is>
          <t>цветы срезка</t>
        </is>
      </c>
      <c r="B317" s="20" t="inlineStr">
        <is>
          <t>01478</t>
        </is>
      </c>
      <c r="C317" s="19" t="inlineStr">
        <is>
          <t>Альстромерия Эквадор 80 см ***</t>
        </is>
      </c>
      <c r="D317" s="21" t="n">
        <v>80.90000000000001</v>
      </c>
    </row>
    <row r="318">
      <c r="A318" s="19" t="inlineStr">
        <is>
          <t>цветы срезка</t>
        </is>
      </c>
      <c r="B318" s="20" t="inlineStr">
        <is>
          <t>01479</t>
        </is>
      </c>
      <c r="C318" s="19" t="inlineStr">
        <is>
          <t>Гортензия JUMBO Колумбия ***</t>
        </is>
      </c>
      <c r="D318" s="21" t="n">
        <v>289.9</v>
      </c>
    </row>
    <row r="319">
      <c r="A319" s="19" t="inlineStr">
        <is>
          <t>цветы срезка</t>
        </is>
      </c>
      <c r="B319" s="20" t="inlineStr">
        <is>
          <t>01084</t>
        </is>
      </c>
      <c r="C319" s="19" t="inlineStr">
        <is>
          <t>эвкалипт А*** банч</t>
        </is>
      </c>
      <c r="D319" s="21" t="n">
        <v>1690</v>
      </c>
    </row>
    <row r="320">
      <c r="A320" s="19" t="inlineStr">
        <is>
          <t>цветы срезка</t>
        </is>
      </c>
      <c r="B320" s="20" t="inlineStr">
        <is>
          <t>01481</t>
        </is>
      </c>
      <c r="C320" s="19" t="inlineStr">
        <is>
          <t>Маттиола Голландия***</t>
        </is>
      </c>
      <c r="D320" s="21" t="n">
        <v>130.9</v>
      </c>
    </row>
    <row r="321">
      <c r="A321" s="19" t="inlineStr">
        <is>
          <t>цветы срезка</t>
        </is>
      </c>
      <c r="B321" s="20" t="inlineStr">
        <is>
          <t>01482</t>
        </is>
      </c>
      <c r="C321" s="19" t="inlineStr">
        <is>
          <t>Нерине***</t>
        </is>
      </c>
      <c r="D321" s="21" t="n">
        <v>209.9</v>
      </c>
    </row>
    <row r="322">
      <c r="A322" s="19" t="inlineStr">
        <is>
          <t>цветы срезка</t>
        </is>
      </c>
      <c r="B322" s="20" t="inlineStr">
        <is>
          <t>01483</t>
        </is>
      </c>
      <c r="C322" s="19" t="inlineStr">
        <is>
          <t>Флорентика кустовая Беларусь 50 см ***</t>
        </is>
      </c>
      <c r="D322" s="21" t="n">
        <v>122</v>
      </c>
    </row>
    <row r="323">
      <c r="A323" s="19" t="inlineStr">
        <is>
          <t>цветы срезка</t>
        </is>
      </c>
      <c r="B323" s="20" t="inlineStr">
        <is>
          <t>01484</t>
        </is>
      </c>
      <c r="C323" s="19" t="inlineStr">
        <is>
          <t>Флорентика КУСТ Кейт Линн 50 см ***</t>
        </is>
      </c>
      <c r="D323" s="21" t="n">
        <v>95</v>
      </c>
    </row>
    <row r="324">
      <c r="A324" s="19" t="inlineStr">
        <is>
          <t>цветы срезка</t>
        </is>
      </c>
      <c r="B324" s="20" t="inlineStr">
        <is>
          <t>00416</t>
        </is>
      </c>
      <c r="C324" s="19" t="inlineStr">
        <is>
          <t>Антириниум</t>
        </is>
      </c>
      <c r="D324" s="21" t="n">
        <v>133.9</v>
      </c>
    </row>
    <row r="325">
      <c r="A325" s="19" t="inlineStr">
        <is>
          <t>цветы срезка</t>
        </is>
      </c>
      <c r="B325" s="20" t="inlineStr">
        <is>
          <t>01486</t>
        </is>
      </c>
      <c r="C325" s="19" t="inlineStr">
        <is>
          <t>Чех Сад 60 см А1***</t>
        </is>
      </c>
      <c r="D325" s="21" t="n">
        <v>118.9</v>
      </c>
    </row>
    <row r="326">
      <c r="A326" s="19" t="inlineStr">
        <is>
          <t>шляпные коробки</t>
        </is>
      </c>
      <c r="B326" s="20" t="inlineStr">
        <is>
          <t>00424</t>
        </is>
      </c>
      <c r="C326" s="19" t="inlineStr">
        <is>
          <t>коробка шляпная набор 4 шт</t>
        </is>
      </c>
      <c r="D326" s="21" t="n">
        <v>800</v>
      </c>
    </row>
    <row r="327">
      <c r="A327" s="19" t="inlineStr">
        <is>
          <t>шляпные коробки</t>
        </is>
      </c>
      <c r="B327" s="20" t="inlineStr">
        <is>
          <t>00068</t>
        </is>
      </c>
      <c r="C327" s="19" t="inlineStr">
        <is>
          <t>шляпная коробка 30-32 огромная</t>
        </is>
      </c>
      <c r="D327" s="21" t="n">
        <v>500</v>
      </c>
    </row>
    <row r="328">
      <c r="A328" s="19" t="inlineStr">
        <is>
          <t>шляпные коробки</t>
        </is>
      </c>
      <c r="B328" s="20" t="inlineStr">
        <is>
          <t>00433</t>
        </is>
      </c>
      <c r="C328" s="19" t="inlineStr">
        <is>
          <t>Шляпная коробка 3 в 1</t>
        </is>
      </c>
      <c r="D328" s="21" t="n">
        <v>490</v>
      </c>
    </row>
    <row r="329">
      <c r="A329" s="19" t="inlineStr">
        <is>
          <t>шляпные коробки</t>
        </is>
      </c>
      <c r="B329" s="20" t="inlineStr">
        <is>
          <t>00486</t>
        </is>
      </c>
      <c r="C329" s="19" t="inlineStr">
        <is>
          <t>шляпная коробка без крышки 3 в 1</t>
        </is>
      </c>
      <c r="D329" s="21" t="n">
        <v>335</v>
      </c>
    </row>
    <row r="330">
      <c r="A330" s="19" t="inlineStr">
        <is>
          <t>шляпные коробки</t>
        </is>
      </c>
      <c r="B330" s="20" t="inlineStr">
        <is>
          <t>01490</t>
        </is>
      </c>
      <c r="C330" s="19" t="inlineStr">
        <is>
          <t>Бархатная коробка без крышки 16 см ***</t>
        </is>
      </c>
      <c r="D330" s="21" t="n">
        <v>358</v>
      </c>
    </row>
    <row r="331">
      <c r="A331" s="19" t="inlineStr">
        <is>
          <t>шляпные коробки</t>
        </is>
      </c>
      <c r="B331" s="20" t="inlineStr">
        <is>
          <t>01491</t>
        </is>
      </c>
      <c r="C331" s="19" t="inlineStr">
        <is>
          <t>Бархатная коробка без крышки 21см ***</t>
        </is>
      </c>
      <c r="D331" s="21" t="n">
        <v>492</v>
      </c>
    </row>
    <row r="332">
      <c r="A332" s="19" t="inlineStr">
        <is>
          <t>шляпные коробки</t>
        </is>
      </c>
      <c r="B332" s="20" t="inlineStr">
        <is>
          <t>01492</t>
        </is>
      </c>
      <c r="C332" s="19" t="inlineStr">
        <is>
          <t>Набор бархатных коробок 3в1 (14,16,21см) без крышки***</t>
        </is>
      </c>
      <c r="D332" s="21" t="n">
        <v>1077</v>
      </c>
    </row>
    <row r="333">
      <c r="A333" s="19" t="inlineStr">
        <is>
          <t>шляпные коробки</t>
        </is>
      </c>
      <c r="B333" s="20" t="inlineStr">
        <is>
          <t>01493</t>
        </is>
      </c>
      <c r="C333" s="19" t="inlineStr">
        <is>
          <t>Набор коробок 3в1 СТАНДАРТ без крышки(14,16,21 см)***</t>
        </is>
      </c>
      <c r="D333" s="21" t="n">
        <v>297</v>
      </c>
    </row>
    <row r="334">
      <c r="A334" s="19" t="inlineStr">
        <is>
          <t>шляпные коробки</t>
        </is>
      </c>
      <c r="B334" s="20" t="inlineStr">
        <is>
          <t>01494</t>
        </is>
      </c>
      <c r="C334" s="19" t="inlineStr">
        <is>
          <t>Шляпная коробка без крышки 16 см ***</t>
        </is>
      </c>
      <c r="D334" s="21" t="n">
        <v>105.9</v>
      </c>
    </row>
    <row r="335">
      <c r="A335" s="19" t="inlineStr">
        <is>
          <t>шляпные коробки</t>
        </is>
      </c>
      <c r="B335" s="20" t="inlineStr">
        <is>
          <t>01495</t>
        </is>
      </c>
      <c r="C335" s="19" t="inlineStr">
        <is>
          <t>Шляпная коробка 21 см без крышки ***</t>
        </is>
      </c>
      <c r="D335" s="21" t="n">
        <v>126.9</v>
      </c>
    </row>
    <row r="336">
      <c r="A336" s="19" t="inlineStr">
        <is>
          <t>гроршечка и кашпо</t>
        </is>
      </c>
      <c r="B336" s="20" t="inlineStr">
        <is>
          <t>01223</t>
        </is>
      </c>
      <c r="C336" s="19" t="inlineStr">
        <is>
          <t>орхидея в горшке 1 ствол***</t>
        </is>
      </c>
      <c r="D336" s="21" t="n">
        <v>699</v>
      </c>
    </row>
    <row r="337">
      <c r="A337" s="19" t="inlineStr">
        <is>
          <t>гроршечка и кашпо</t>
        </is>
      </c>
      <c r="B337" s="20" t="inlineStr">
        <is>
          <t>00025</t>
        </is>
      </c>
      <c r="C337" s="19" t="inlineStr">
        <is>
          <t>Гиацинт***</t>
        </is>
      </c>
      <c r="D337" s="21" t="n">
        <v>89.90000000000001</v>
      </c>
    </row>
    <row r="338">
      <c r="A338" s="19" t="inlineStr">
        <is>
          <t>гроршечка и кашпо</t>
        </is>
      </c>
      <c r="B338" s="20" t="inlineStr">
        <is>
          <t>00812</t>
        </is>
      </c>
      <c r="C338" s="19" t="inlineStr">
        <is>
          <t>ИЦ Мискантус 10 шт 60 см</t>
        </is>
      </c>
      <c r="D338" s="21" t="n">
        <v>300</v>
      </c>
    </row>
    <row r="339">
      <c r="A339" s="19" t="inlineStr">
        <is>
          <t>гроршечка и кашпо</t>
        </is>
      </c>
      <c r="B339" s="20" t="inlineStr">
        <is>
          <t>00813</t>
        </is>
      </c>
      <c r="C339" s="19" t="inlineStr">
        <is>
          <t>ИЦ пампасная трава 30 шт 50 см белый</t>
        </is>
      </c>
      <c r="D339" s="21" t="n">
        <v>360</v>
      </c>
    </row>
    <row r="340">
      <c r="A340" s="19" t="inlineStr">
        <is>
          <t>гроршечка и кашпо</t>
        </is>
      </c>
      <c r="B340" s="20" t="inlineStr">
        <is>
          <t>00815</t>
        </is>
      </c>
      <c r="C340" s="19" t="inlineStr">
        <is>
          <t>ИЦ Скабиоза  10 шт</t>
        </is>
      </c>
      <c r="D340" s="21" t="n">
        <v>430</v>
      </c>
    </row>
    <row r="341">
      <c r="A341" s="19" t="inlineStr">
        <is>
          <t>гроршечка и кашпо</t>
        </is>
      </c>
      <c r="B341" s="20" t="inlineStr">
        <is>
          <t>00816</t>
        </is>
      </c>
      <c r="C341" s="19" t="inlineStr">
        <is>
          <t>ИЦ хлопковые коробочки15 шт 5 см</t>
        </is>
      </c>
      <c r="D341" s="21" t="n">
        <v>180</v>
      </c>
    </row>
    <row r="342">
      <c r="A342" s="19" t="inlineStr">
        <is>
          <t>гроршечка и кашпо</t>
        </is>
      </c>
      <c r="B342" s="20" t="inlineStr">
        <is>
          <t>00817</t>
        </is>
      </c>
      <c r="C342" s="19" t="inlineStr">
        <is>
          <t>Каркас для букета сизаль гладкий 25 см красный</t>
        </is>
      </c>
      <c r="D342" s="21" t="n">
        <v>60</v>
      </c>
    </row>
    <row r="343">
      <c r="A343" s="19" t="inlineStr">
        <is>
          <t>гроршечка и кашпо</t>
        </is>
      </c>
      <c r="B343" s="20" t="inlineStr">
        <is>
          <t>00820</t>
        </is>
      </c>
      <c r="C343" s="19" t="inlineStr">
        <is>
          <t>Лагурус цветной 30 голов</t>
        </is>
      </c>
      <c r="D343" s="21" t="n">
        <v>140</v>
      </c>
    </row>
    <row r="344">
      <c r="A344" s="19" t="inlineStr">
        <is>
          <t>гроршечка и кашпо</t>
        </is>
      </c>
      <c r="B344" s="20" t="inlineStr">
        <is>
          <t>00814</t>
        </is>
      </c>
      <c r="C344" s="19" t="inlineStr">
        <is>
          <t>Сетария 10шт 60 см</t>
        </is>
      </c>
      <c r="D344" s="21" t="n">
        <v>280</v>
      </c>
    </row>
    <row r="345">
      <c r="A345" s="19" t="inlineStr">
        <is>
          <t>гроршечка и кашпо</t>
        </is>
      </c>
      <c r="B345" s="20" t="inlineStr">
        <is>
          <t>00826</t>
        </is>
      </c>
      <c r="C345" s="19" t="inlineStr">
        <is>
          <t>Стифа 40 см 25 гр</t>
        </is>
      </c>
      <c r="D345" s="21" t="n">
        <v>300</v>
      </c>
    </row>
    <row r="346">
      <c r="A346" s="19" t="inlineStr">
        <is>
          <t>гроршечка и кашпо</t>
        </is>
      </c>
      <c r="B346" s="20" t="inlineStr">
        <is>
          <t>00407</t>
        </is>
      </c>
      <c r="C346" s="19" t="inlineStr">
        <is>
          <t>Трахелиум***27</t>
        </is>
      </c>
      <c r="D346" s="21" t="n">
        <v>119.9</v>
      </c>
    </row>
    <row r="347">
      <c r="A347" s="19" t="inlineStr">
        <is>
          <t>гроршечка и кашпо</t>
        </is>
      </c>
      <c r="B347" s="20" t="inlineStr">
        <is>
          <t>01166</t>
        </is>
      </c>
      <c r="C347" s="19" t="inlineStr">
        <is>
          <t>луковица амариллиса***</t>
        </is>
      </c>
      <c r="D347" s="21" t="n">
        <v>600</v>
      </c>
    </row>
    <row r="348">
      <c r="A348" s="19" t="inlineStr">
        <is>
          <t>гроршечка и кашпо</t>
        </is>
      </c>
      <c r="B348" s="20" t="inlineStr">
        <is>
          <t>00534</t>
        </is>
      </c>
      <c r="C348" s="19" t="inlineStr">
        <is>
          <t>Стрелиция***24 150 см</t>
        </is>
      </c>
      <c r="D348" s="21" t="n">
        <v>6900</v>
      </c>
    </row>
    <row r="349">
      <c r="A349" s="19" t="inlineStr">
        <is>
          <t>гроршечка и кашпо</t>
        </is>
      </c>
      <c r="B349" s="20" t="inlineStr">
        <is>
          <t>01273</t>
        </is>
      </c>
      <c r="C349" s="19" t="inlineStr">
        <is>
          <t>Цитрус 21***</t>
        </is>
      </c>
      <c r="D349" s="21" t="n">
        <v>3850</v>
      </c>
    </row>
    <row r="350">
      <c r="A350" s="19" t="inlineStr">
        <is>
          <t>гроршечка и кашпо</t>
        </is>
      </c>
      <c r="B350" s="20" t="inlineStr">
        <is>
          <t>01281</t>
        </is>
      </c>
      <c r="C350" s="19" t="inlineStr">
        <is>
          <t>Гиацинт 12 ГОРШ ***</t>
        </is>
      </c>
      <c r="D350" s="21" t="n">
        <v>50</v>
      </c>
    </row>
    <row r="351">
      <c r="A351" s="19" t="inlineStr">
        <is>
          <t>гроршечка и кашпо</t>
        </is>
      </c>
      <c r="B351" s="20" t="inlineStr">
        <is>
          <t>00198</t>
        </is>
      </c>
      <c r="C351" s="19" t="inlineStr">
        <is>
          <t>Антуриум ГОРШ 17***</t>
        </is>
      </c>
      <c r="D351" s="21" t="n">
        <v>2050</v>
      </c>
    </row>
    <row r="352">
      <c r="A352" s="19" t="inlineStr">
        <is>
          <t>гроршечка и кашпо</t>
        </is>
      </c>
      <c r="B352" s="20" t="inlineStr">
        <is>
          <t>01272</t>
        </is>
      </c>
      <c r="C352" s="19" t="inlineStr">
        <is>
          <t>Бромелия 510***</t>
        </is>
      </c>
      <c r="D352" s="21" t="n">
        <v>590</v>
      </c>
    </row>
    <row r="353">
      <c r="A353" s="19" t="inlineStr">
        <is>
          <t>гроршечка и кашпо</t>
        </is>
      </c>
      <c r="B353" s="20" t="inlineStr">
        <is>
          <t>00234</t>
        </is>
      </c>
      <c r="C353" s="19" t="inlineStr">
        <is>
          <t>Кактус15***</t>
        </is>
      </c>
      <c r="D353" s="21" t="n">
        <v>890</v>
      </c>
    </row>
    <row r="354">
      <c r="A354" s="19" t="inlineStr">
        <is>
          <t>гроршечка и кашпо</t>
        </is>
      </c>
      <c r="B354" s="20" t="inlineStr">
        <is>
          <t>01278</t>
        </is>
      </c>
      <c r="C354" s="19" t="inlineStr">
        <is>
          <t>кактус 12</t>
        </is>
      </c>
      <c r="D354" s="21" t="n">
        <v>890</v>
      </c>
    </row>
    <row r="355">
      <c r="A355" s="19" t="inlineStr">
        <is>
          <t>гроршечка и кашпо</t>
        </is>
      </c>
      <c r="B355" s="20" t="inlineStr">
        <is>
          <t>01274</t>
        </is>
      </c>
      <c r="C355" s="19" t="inlineStr">
        <is>
          <t>Диффенбахия 12***</t>
        </is>
      </c>
      <c r="D355" s="21" t="n">
        <v>490</v>
      </c>
    </row>
    <row r="356">
      <c r="A356" s="19" t="inlineStr">
        <is>
          <t>гроршечка и кашпо</t>
        </is>
      </c>
      <c r="B356" s="20" t="inlineStr">
        <is>
          <t>00191</t>
        </is>
      </c>
      <c r="C356" s="19" t="inlineStr">
        <is>
          <t>Драцена 17***</t>
        </is>
      </c>
      <c r="D356" s="21" t="n">
        <v>1490</v>
      </c>
    </row>
    <row r="357">
      <c r="A357" s="19" t="inlineStr">
        <is>
          <t>гроршечка и кашпо</t>
        </is>
      </c>
      <c r="B357" s="20" t="inlineStr">
        <is>
          <t>01275</t>
        </is>
      </c>
      <c r="C357" s="19" t="inlineStr">
        <is>
          <t>Дипсис 14***</t>
        </is>
      </c>
      <c r="D357" s="21" t="n">
        <v>690</v>
      </c>
    </row>
    <row r="358">
      <c r="A358" s="19" t="inlineStr">
        <is>
          <t>гроршечка и кашпо</t>
        </is>
      </c>
      <c r="B358" s="20" t="inlineStr">
        <is>
          <t>00238</t>
        </is>
      </c>
      <c r="C358" s="19" t="inlineStr">
        <is>
          <t>Фикус12***</t>
        </is>
      </c>
      <c r="D358" s="21" t="n">
        <v>890</v>
      </c>
    </row>
    <row r="359">
      <c r="A359" s="19" t="inlineStr">
        <is>
          <t>гроршечка и кашпо</t>
        </is>
      </c>
      <c r="B359" s="20" t="inlineStr">
        <is>
          <t>01276</t>
        </is>
      </c>
      <c r="C359" s="19" t="inlineStr">
        <is>
          <t>Ховея 24***</t>
        </is>
      </c>
      <c r="D359" s="21" t="n">
        <v>6900</v>
      </c>
    </row>
    <row r="360">
      <c r="A360" s="19" t="inlineStr">
        <is>
          <t>гроршечка и кашпо</t>
        </is>
      </c>
      <c r="B360" s="20" t="inlineStr">
        <is>
          <t>00862</t>
        </is>
      </c>
      <c r="C360" s="19" t="inlineStr">
        <is>
          <t>Спатифиллум  микс 17***</t>
        </is>
      </c>
      <c r="D360" s="21" t="n">
        <v>1390</v>
      </c>
    </row>
    <row r="361">
      <c r="A361" s="19" t="inlineStr">
        <is>
          <t>гроршечка и кашпо</t>
        </is>
      </c>
      <c r="B361" s="20" t="inlineStr">
        <is>
          <t>01279</t>
        </is>
      </c>
      <c r="C361" s="19" t="inlineStr">
        <is>
          <t>стрелиция 13...</t>
        </is>
      </c>
      <c r="D361" s="21" t="n">
        <v>950</v>
      </c>
    </row>
    <row r="362">
      <c r="A362" s="19" t="inlineStr">
        <is>
          <t>гроршечка и кашпо</t>
        </is>
      </c>
      <c r="B362" s="20" t="inlineStr">
        <is>
          <t>00196</t>
        </is>
      </c>
      <c r="C362" s="19" t="inlineStr">
        <is>
          <t>юкка 17***</t>
        </is>
      </c>
      <c r="D362" s="21" t="n">
        <v>1990</v>
      </c>
    </row>
    <row r="363">
      <c r="A363" s="19" t="inlineStr">
        <is>
          <t>гроршечка и кашпо</t>
        </is>
      </c>
      <c r="B363" s="20" t="inlineStr">
        <is>
          <t>01280</t>
        </is>
      </c>
      <c r="C363" s="19" t="inlineStr">
        <is>
          <t>Замиокулькас  14***</t>
        </is>
      </c>
      <c r="D363" s="21" t="n">
        <v>990</v>
      </c>
    </row>
    <row r="364">
      <c r="A364" s="19" t="inlineStr">
        <is>
          <t>гроршечка и кашпо</t>
        </is>
      </c>
      <c r="B364" s="20" t="inlineStr">
        <is>
          <t>00244</t>
        </is>
      </c>
      <c r="C364" s="19" t="inlineStr">
        <is>
          <t>Алоказия 17 ГОРШ ***</t>
        </is>
      </c>
      <c r="D364" s="21" t="n">
        <v>1390</v>
      </c>
    </row>
    <row r="365">
      <c r="A365" s="19" t="inlineStr">
        <is>
          <t>гроршечка и кашпо</t>
        </is>
      </c>
      <c r="B365" s="20" t="inlineStr">
        <is>
          <t>01282</t>
        </is>
      </c>
      <c r="C365" s="19" t="inlineStr">
        <is>
          <t>Фикус ГОРШ d17</t>
        </is>
      </c>
      <c r="D365" s="21" t="n">
        <v>1390</v>
      </c>
    </row>
    <row r="366">
      <c r="A366" s="19" t="inlineStr">
        <is>
          <t>гроршечка и кашпо</t>
        </is>
      </c>
      <c r="B366" s="20" t="inlineStr">
        <is>
          <t>01317</t>
        </is>
      </c>
      <c r="C366" s="19" t="inlineStr">
        <is>
          <t>ГОРШ Ананас***</t>
        </is>
      </c>
      <c r="D366" s="21" t="n">
        <v>1745</v>
      </c>
    </row>
    <row r="367">
      <c r="A367" s="19" t="inlineStr">
        <is>
          <t>гроршечка и кашпо</t>
        </is>
      </c>
      <c r="B367" s="20" t="inlineStr">
        <is>
          <t>01318</t>
        </is>
      </c>
      <c r="C367" s="19" t="inlineStr">
        <is>
          <t>Лимонное Дерево 160 см ГОРШ***</t>
        </is>
      </c>
      <c r="D367" s="21" t="n">
        <v>25900</v>
      </c>
    </row>
    <row r="368">
      <c r="A368" s="19" t="inlineStr">
        <is>
          <t>гроршечка и кашпо</t>
        </is>
      </c>
      <c r="B368" s="20" t="inlineStr">
        <is>
          <t>01319</t>
        </is>
      </c>
      <c r="C368" s="19" t="inlineStr">
        <is>
          <t>Туи маленькие микс ГОРШ ***</t>
        </is>
      </c>
      <c r="D368" s="21" t="n">
        <v>500</v>
      </c>
    </row>
    <row r="369">
      <c r="A369" s="19" t="inlineStr">
        <is>
          <t>гроршечка и кашпо</t>
        </is>
      </c>
      <c r="B369" s="20" t="inlineStr">
        <is>
          <t>01322</t>
        </is>
      </c>
      <c r="C369" s="19" t="inlineStr">
        <is>
          <t>ГОРШ Эхмея розовая***</t>
        </is>
      </c>
      <c r="D369" s="21" t="n">
        <v>1250</v>
      </c>
    </row>
    <row r="370">
      <c r="A370" s="19" t="inlineStr">
        <is>
          <t>гроршечка и кашпо</t>
        </is>
      </c>
      <c r="B370" s="20" t="inlineStr">
        <is>
          <t>01323</t>
        </is>
      </c>
      <c r="C370" s="19" t="inlineStr">
        <is>
          <t>ГОРШ Эхмея корал***</t>
        </is>
      </c>
      <c r="D370" s="21" t="n">
        <v>1350</v>
      </c>
    </row>
    <row r="371">
      <c r="A371" s="19" t="inlineStr">
        <is>
          <t>гроршечка и кашпо</t>
        </is>
      </c>
      <c r="B371" s="20" t="inlineStr">
        <is>
          <t>01324</t>
        </is>
      </c>
      <c r="C371" s="19" t="inlineStr">
        <is>
          <t>ГОРШ Алоказия кукулата 21 см***</t>
        </is>
      </c>
      <c r="D371" s="21" t="n">
        <v>1750</v>
      </c>
    </row>
    <row r="372">
      <c r="A372" s="19" t="inlineStr">
        <is>
          <t>гроршечка и кашпо</t>
        </is>
      </c>
      <c r="B372" s="20" t="inlineStr">
        <is>
          <t>01325</t>
        </is>
      </c>
      <c r="C372" s="19" t="inlineStr">
        <is>
          <t>ГОРШ Алоказия ов 24см***</t>
        </is>
      </c>
      <c r="D372" s="21" t="n">
        <v>4550</v>
      </c>
    </row>
    <row r="373">
      <c r="A373" s="19" t="inlineStr">
        <is>
          <t>гроршечка и кашпо</t>
        </is>
      </c>
      <c r="B373" s="20" t="inlineStr">
        <is>
          <t>01326</t>
        </is>
      </c>
      <c r="C373" s="19" t="inlineStr">
        <is>
          <t>ГОРШ Анис принцес цветущий***</t>
        </is>
      </c>
      <c r="D373" s="21" t="n">
        <v>2500</v>
      </c>
    </row>
    <row r="374">
      <c r="A374" s="19" t="inlineStr">
        <is>
          <t>гроршечка и кашпо</t>
        </is>
      </c>
      <c r="B374" s="20" t="inlineStr">
        <is>
          <t>01327</t>
        </is>
      </c>
      <c r="C374" s="19" t="inlineStr">
        <is>
          <t>ГОРШ Антуриум 12см***</t>
        </is>
      </c>
      <c r="D374" s="21" t="n">
        <v>1130</v>
      </c>
    </row>
    <row r="375">
      <c r="A375" s="19" t="inlineStr">
        <is>
          <t>гроршечка и кашпо</t>
        </is>
      </c>
      <c r="B375" s="20" t="inlineStr">
        <is>
          <t>01330</t>
        </is>
      </c>
      <c r="C375" s="19" t="inlineStr">
        <is>
          <t>ГОРШ Фикус 12см в сетке***</t>
        </is>
      </c>
      <c r="D375" s="21" t="n">
        <v>800</v>
      </c>
    </row>
    <row r="376">
      <c r="A376" s="19" t="inlineStr">
        <is>
          <t>гроршечка и кашпо</t>
        </is>
      </c>
      <c r="B376" s="20" t="inlineStr">
        <is>
          <t>01331</t>
        </is>
      </c>
      <c r="C376" s="19" t="inlineStr">
        <is>
          <t>ГОРШ Фикус 4 плетения***</t>
        </is>
      </c>
      <c r="D376" s="21" t="n">
        <v>7500</v>
      </c>
    </row>
    <row r="377">
      <c r="A377" s="19" t="inlineStr">
        <is>
          <t>гроршечка и кашпо</t>
        </is>
      </c>
      <c r="B377" s="20" t="inlineStr">
        <is>
          <t>01332</t>
        </is>
      </c>
      <c r="C377" s="19" t="inlineStr">
        <is>
          <t>ГОРЩ Фикус 6 плетений***</t>
        </is>
      </c>
      <c r="D377" s="21" t="n">
        <v>8800</v>
      </c>
    </row>
    <row r="378">
      <c r="A378" s="19" t="inlineStr">
        <is>
          <t>гроршечка и кашпо</t>
        </is>
      </c>
      <c r="B378" s="20" t="inlineStr">
        <is>
          <t>01333</t>
        </is>
      </c>
      <c r="C378" s="19" t="inlineStr">
        <is>
          <t>ГОРШ Фикус эль рабуста***</t>
        </is>
      </c>
      <c r="D378" s="21" t="n">
        <v>6900</v>
      </c>
    </row>
    <row r="379">
      <c r="A379" s="19" t="inlineStr">
        <is>
          <t>гроршечка и кашпо</t>
        </is>
      </c>
      <c r="B379" s="20" t="inlineStr">
        <is>
          <t>01334</t>
        </is>
      </c>
      <c r="C379" s="19" t="inlineStr">
        <is>
          <t>ГОРШ Фикус бонсай бодьшой***</t>
        </is>
      </c>
      <c r="D379" s="21" t="n">
        <v>10000</v>
      </c>
    </row>
    <row r="380">
      <c r="A380" s="19" t="inlineStr">
        <is>
          <t>гроршечка и кашпо</t>
        </is>
      </c>
      <c r="B380" s="20" t="inlineStr">
        <is>
          <t>01335</t>
        </is>
      </c>
      <c r="C380" s="19" t="inlineStr">
        <is>
          <t>ГОРШ Фикус бенгальский***</t>
        </is>
      </c>
      <c r="D380" s="21" t="n">
        <v>1900</v>
      </c>
    </row>
    <row r="381">
      <c r="A381" s="19" t="inlineStr">
        <is>
          <t>гроршечка и кашпо</t>
        </is>
      </c>
      <c r="B381" s="20" t="inlineStr">
        <is>
          <t>01336</t>
        </is>
      </c>
      <c r="C381" s="19" t="inlineStr">
        <is>
          <t>ГОРШ Каланхоэ***</t>
        </is>
      </c>
      <c r="D381" s="21" t="n">
        <v>950</v>
      </c>
    </row>
    <row r="382">
      <c r="A382" s="19" t="inlineStr">
        <is>
          <t>гроршечка и кашпо</t>
        </is>
      </c>
      <c r="B382" s="20" t="inlineStr">
        <is>
          <t>01337</t>
        </is>
      </c>
      <c r="C382" s="19" t="inlineStr">
        <is>
          <t>ГОРШ Ель Дейзи вайт***</t>
        </is>
      </c>
      <c r="D382" s="21" t="n">
        <v>2200</v>
      </c>
    </row>
    <row r="383">
      <c r="A383" s="19" t="inlineStr">
        <is>
          <t>гроршечка и кашпо</t>
        </is>
      </c>
      <c r="B383" s="20" t="inlineStr">
        <is>
          <t>01338</t>
        </is>
      </c>
      <c r="C383" s="19" t="inlineStr">
        <is>
          <t>ГОРШ Монстера 30см***</t>
        </is>
      </c>
      <c r="D383" s="21" t="n">
        <v>8500</v>
      </c>
    </row>
    <row r="384">
      <c r="A384" s="19" t="inlineStr">
        <is>
          <t>гроршечка и кашпо</t>
        </is>
      </c>
      <c r="B384" s="20" t="inlineStr">
        <is>
          <t>01339</t>
        </is>
      </c>
      <c r="C384" s="19" t="inlineStr">
        <is>
          <t>ГОРШ Монстера</t>
        </is>
      </c>
      <c r="D384" s="21" t="n">
        <v>1800</v>
      </c>
    </row>
    <row r="385">
      <c r="A385" s="19" t="inlineStr">
        <is>
          <t>гроршечка и кашпо</t>
        </is>
      </c>
      <c r="B385" s="20" t="inlineStr">
        <is>
          <t>01340</t>
        </is>
      </c>
      <c r="C385" s="19" t="inlineStr">
        <is>
          <t>ГОРШ Монстера 17см***</t>
        </is>
      </c>
      <c r="D385" s="21" t="n">
        <v>1800</v>
      </c>
    </row>
    <row r="386">
      <c r="A386" s="19" t="inlineStr">
        <is>
          <t>гроршечка и кашпо</t>
        </is>
      </c>
      <c r="B386" s="20" t="inlineStr">
        <is>
          <t>01341</t>
        </is>
      </c>
      <c r="C386" s="19" t="inlineStr">
        <is>
          <t>ГОРШ Туя маленькая***</t>
        </is>
      </c>
      <c r="D386" s="21" t="n">
        <v>500</v>
      </c>
    </row>
    <row r="387">
      <c r="A387" s="19" t="inlineStr">
        <is>
          <t>гроршечка и кашпо</t>
        </is>
      </c>
      <c r="B387" s="20" t="inlineStr">
        <is>
          <t>01349</t>
        </is>
      </c>
      <c r="C387" s="19" t="inlineStr">
        <is>
          <t>Мандарин ГОРШ д 14***</t>
        </is>
      </c>
      <c r="D387" s="21" t="n">
        <v>2250</v>
      </c>
    </row>
    <row r="388">
      <c r="A388" s="19" t="inlineStr">
        <is>
          <t>гроршечка и кашпо</t>
        </is>
      </c>
      <c r="B388" s="20" t="inlineStr">
        <is>
          <t>01350</t>
        </is>
      </c>
      <c r="C388" s="19" t="inlineStr">
        <is>
          <t>Мандарин ГОРШ д 17***</t>
        </is>
      </c>
      <c r="D388" s="21" t="n">
        <v>4100</v>
      </c>
    </row>
    <row r="389">
      <c r="A389" s="19" t="inlineStr">
        <is>
          <t>гроршечка и кашпо</t>
        </is>
      </c>
      <c r="B389" s="20" t="inlineStr">
        <is>
          <t>01351</t>
        </is>
      </c>
      <c r="C389" s="19" t="inlineStr">
        <is>
          <t>Мандарин ГОРШ д22***</t>
        </is>
      </c>
      <c r="D389" s="21" t="n">
        <v>5900</v>
      </c>
    </row>
    <row r="390">
      <c r="A390" s="19" t="inlineStr">
        <is>
          <t>гроршечка и кашпо</t>
        </is>
      </c>
      <c r="B390" s="20" t="inlineStr">
        <is>
          <t>01352</t>
        </is>
      </c>
      <c r="C390" s="19" t="inlineStr">
        <is>
          <t>Мандарин ГОРШ д 19***</t>
        </is>
      </c>
      <c r="D390" s="21" t="n">
        <v>4800</v>
      </c>
    </row>
    <row r="391">
      <c r="A391" s="19" t="inlineStr">
        <is>
          <t>гроршечка и кашпо</t>
        </is>
      </c>
      <c r="B391" s="20" t="inlineStr">
        <is>
          <t>01353</t>
        </is>
      </c>
      <c r="C391" s="19" t="inlineStr">
        <is>
          <t>Лимон ГОРШ д22***</t>
        </is>
      </c>
      <c r="D391" s="21" t="n">
        <v>7200</v>
      </c>
    </row>
    <row r="392">
      <c r="A392" s="19" t="inlineStr">
        <is>
          <t>гроршечка и кашпо</t>
        </is>
      </c>
      <c r="B392" s="20" t="inlineStr">
        <is>
          <t>01354</t>
        </is>
      </c>
      <c r="C392" s="19" t="inlineStr">
        <is>
          <t>Лимон ГОРШ д40***</t>
        </is>
      </c>
      <c r="D392" s="21" t="n">
        <v>25900</v>
      </c>
    </row>
    <row r="393">
      <c r="A393" s="19" t="inlineStr">
        <is>
          <t>гроршечка и кашпо</t>
        </is>
      </c>
      <c r="B393" s="20" t="inlineStr">
        <is>
          <t>01367</t>
        </is>
      </c>
      <c r="C393" s="19" t="inlineStr">
        <is>
          <t>ГОРШ Самшит D=21***</t>
        </is>
      </c>
      <c r="D393" s="21" t="n">
        <v>2500</v>
      </c>
    </row>
    <row r="394">
      <c r="A394" s="19" t="inlineStr">
        <is>
          <t>гроршечка и кашпо</t>
        </is>
      </c>
      <c r="B394" s="20" t="inlineStr">
        <is>
          <t>01368</t>
        </is>
      </c>
      <c r="C394" s="19" t="inlineStr">
        <is>
          <t>ГОРШ Самшит D=30***</t>
        </is>
      </c>
      <c r="D394" s="21" t="n">
        <v>7999</v>
      </c>
    </row>
    <row r="395">
      <c r="A395" s="19" t="inlineStr">
        <is>
          <t>гроршечка и кашпо</t>
        </is>
      </c>
      <c r="B395" s="20" t="inlineStr">
        <is>
          <t>01370</t>
        </is>
      </c>
      <c r="C395" s="19" t="inlineStr">
        <is>
          <t>ГОРШ Кипарис D=14***</t>
        </is>
      </c>
      <c r="D395" s="21" t="n">
        <v>785</v>
      </c>
    </row>
    <row r="396">
      <c r="A396" s="19" t="inlineStr">
        <is>
          <t>гроршечка и кашпо</t>
        </is>
      </c>
      <c r="B396" s="20" t="inlineStr">
        <is>
          <t>01369</t>
        </is>
      </c>
      <c r="C396" s="19" t="inlineStr">
        <is>
          <t>ГОРШ Кипарис D=10***</t>
        </is>
      </c>
      <c r="D396" s="21" t="n">
        <v>339</v>
      </c>
    </row>
    <row r="397">
      <c r="A397" s="19" t="inlineStr">
        <is>
          <t>гроршечка и кашпо</t>
        </is>
      </c>
      <c r="B397" s="20" t="inlineStr">
        <is>
          <t>01371</t>
        </is>
      </c>
      <c r="C397" s="19" t="inlineStr">
        <is>
          <t>ГОРШ Драцена D=21***</t>
        </is>
      </c>
      <c r="D397" s="21" t="n">
        <v>1890</v>
      </c>
    </row>
    <row r="398">
      <c r="A398" s="19" t="inlineStr">
        <is>
          <t>гроршечка и кашпо</t>
        </is>
      </c>
      <c r="B398" s="20" t="inlineStr">
        <is>
          <t>01372</t>
        </is>
      </c>
      <c r="C398" s="19" t="inlineStr">
        <is>
          <t>ГОРШ Драцена D=17***</t>
        </is>
      </c>
      <c r="D398" s="21" t="n">
        <v>1490</v>
      </c>
    </row>
    <row r="399">
      <c r="A399" s="19" t="inlineStr">
        <is>
          <t>гроршечка и кашпо</t>
        </is>
      </c>
      <c r="B399" s="20" t="inlineStr">
        <is>
          <t>01373</t>
        </is>
      </c>
      <c r="C399" s="19" t="inlineStr">
        <is>
          <t>ГОРШ Гузмания D=12***</t>
        </is>
      </c>
      <c r="D399" s="21" t="n">
        <v>880</v>
      </c>
    </row>
    <row r="400">
      <c r="A400" s="19" t="inlineStr">
        <is>
          <t>гроршечка и кашпо</t>
        </is>
      </c>
      <c r="B400" s="20" t="inlineStr">
        <is>
          <t>01376</t>
        </is>
      </c>
      <c r="C400" s="19" t="inlineStr">
        <is>
          <t>ГОРШ Гортензия  D=14***</t>
        </is>
      </c>
      <c r="D400" s="21" t="n">
        <v>2495</v>
      </c>
    </row>
    <row r="401">
      <c r="A401" s="19" t="inlineStr">
        <is>
          <t>гроршечка и кашпо</t>
        </is>
      </c>
      <c r="B401" s="20" t="inlineStr">
        <is>
          <t>01374</t>
        </is>
      </c>
      <c r="C401" s="19" t="inlineStr">
        <is>
          <t>ГОРШ Гортензия D=23***</t>
        </is>
      </c>
      <c r="D401" s="21" t="n">
        <v>2750</v>
      </c>
    </row>
    <row r="402">
      <c r="A402" s="19" t="inlineStr">
        <is>
          <t>гроршечка и кашпо</t>
        </is>
      </c>
      <c r="B402" s="20" t="inlineStr">
        <is>
          <t>01375</t>
        </is>
      </c>
      <c r="C402" s="19" t="inlineStr">
        <is>
          <t>ГОРШ Гортензия D=30***</t>
        </is>
      </c>
      <c r="D402" s="21" t="n">
        <v>6530</v>
      </c>
    </row>
    <row r="403">
      <c r="A403" s="19" t="inlineStr">
        <is>
          <t>гроршечка и кашпо</t>
        </is>
      </c>
      <c r="B403" s="20" t="inlineStr">
        <is>
          <t>01377</t>
        </is>
      </c>
      <c r="C403" s="19" t="inlineStr">
        <is>
          <t>ГОРШ Гортензия D=32***</t>
        </is>
      </c>
      <c r="D403" s="21" t="n">
        <v>6530</v>
      </c>
    </row>
    <row r="404">
      <c r="A404" s="19" t="inlineStr">
        <is>
          <t>гроршечка и кашпо</t>
        </is>
      </c>
      <c r="B404" s="20" t="inlineStr">
        <is>
          <t>01378</t>
        </is>
      </c>
      <c r="C404" s="19" t="inlineStr">
        <is>
          <t>ГОРШ Роза OV***</t>
        </is>
      </c>
      <c r="D404" s="21" t="n">
        <v>3090</v>
      </c>
    </row>
    <row r="405">
      <c r="A405" s="19" t="inlineStr">
        <is>
          <t>гроршечка и кашпо</t>
        </is>
      </c>
      <c r="B405" s="20" t="inlineStr">
        <is>
          <t>01379</t>
        </is>
      </c>
      <c r="C405" s="19" t="inlineStr">
        <is>
          <t>ГОРШ Стрелиция D=24 160 см***</t>
        </is>
      </c>
      <c r="D405" s="21" t="n">
        <v>9420</v>
      </c>
    </row>
    <row r="406">
      <c r="A406" s="19" t="inlineStr">
        <is>
          <t>гроршечка и кашпо</t>
        </is>
      </c>
      <c r="B406" s="20" t="inlineStr">
        <is>
          <t>01380</t>
        </is>
      </c>
      <c r="C406" s="19" t="inlineStr">
        <is>
          <t>ГОРШ Хикси ***</t>
        </is>
      </c>
      <c r="D406" s="21" t="n">
        <v>170</v>
      </c>
    </row>
    <row r="407">
      <c r="A407" s="19" t="inlineStr">
        <is>
          <t>гроршечка и кашпо</t>
        </is>
      </c>
      <c r="B407" s="20" t="inlineStr">
        <is>
          <t>01381</t>
        </is>
      </c>
      <c r="C407" s="19" t="inlineStr">
        <is>
          <t>ГОРШ Юкка D=21***</t>
        </is>
      </c>
      <c r="D407" s="21" t="n">
        <v>2700</v>
      </c>
    </row>
    <row r="408">
      <c r="A408" s="19" t="inlineStr">
        <is>
          <t>гроршечка и кашпо</t>
        </is>
      </c>
      <c r="B408" s="20" t="inlineStr">
        <is>
          <t>01382</t>
        </is>
      </c>
      <c r="C408" s="19" t="inlineStr">
        <is>
          <t>ГОРШ Замиокулькас D=17***</t>
        </is>
      </c>
      <c r="D408" s="21" t="n">
        <v>1750</v>
      </c>
    </row>
    <row r="409">
      <c r="A409" s="19" t="inlineStr">
        <is>
          <t>гроршечка и кашпо</t>
        </is>
      </c>
      <c r="B409" s="20" t="inlineStr">
        <is>
          <t>01383</t>
        </is>
      </c>
      <c r="C409" s="19" t="inlineStr">
        <is>
          <t>ГОРШ Замиокулькас D=12***</t>
        </is>
      </c>
      <c r="D409" s="21" t="n">
        <v>750</v>
      </c>
    </row>
    <row r="410">
      <c r="A410" s="19" t="inlineStr">
        <is>
          <t>гроршечка и кашпо</t>
        </is>
      </c>
      <c r="B410" s="20" t="inlineStr">
        <is>
          <t>01384</t>
        </is>
      </c>
      <c r="C410" s="19" t="inlineStr">
        <is>
          <t>ГОРШ Замиокулькас D=27***</t>
        </is>
      </c>
      <c r="D410" s="21" t="n">
        <v>6770</v>
      </c>
    </row>
    <row r="411">
      <c r="A411" s="19" t="inlineStr">
        <is>
          <t>гроршечка и кашпо</t>
        </is>
      </c>
      <c r="B411" s="20" t="inlineStr">
        <is>
          <t>01385</t>
        </is>
      </c>
      <c r="C411" s="19" t="inlineStr">
        <is>
          <t>ГОРШ Замиокулькас D=21***</t>
        </is>
      </c>
      <c r="D411" s="21" t="n">
        <v>2430</v>
      </c>
    </row>
    <row r="412">
      <c r="A412" s="19" t="inlineStr">
        <is>
          <t>гроршечка и кашпо</t>
        </is>
      </c>
      <c r="B412" s="20" t="inlineStr">
        <is>
          <t>01388</t>
        </is>
      </c>
      <c r="C412" s="19" t="inlineStr">
        <is>
          <t>ГОРШ Каланхоэ D=12 ***</t>
        </is>
      </c>
      <c r="D412" s="21" t="n">
        <v>390</v>
      </c>
    </row>
    <row r="413">
      <c r="A413" s="19" t="inlineStr">
        <is>
          <t>гроршечка и кашпо</t>
        </is>
      </c>
      <c r="B413" s="20" t="inlineStr">
        <is>
          <t>01389</t>
        </is>
      </c>
      <c r="C413" s="19" t="inlineStr">
        <is>
          <t>ГОРШ Каланхоэ D=10***</t>
        </is>
      </c>
      <c r="D413" s="21" t="n">
        <v>295</v>
      </c>
    </row>
    <row r="414">
      <c r="A414" s="19" t="inlineStr">
        <is>
          <t>гроршечка и кашпо</t>
        </is>
      </c>
      <c r="B414" s="20" t="inlineStr">
        <is>
          <t>01390</t>
        </is>
      </c>
      <c r="C414" s="19" t="inlineStr">
        <is>
          <t>ГОРШ Агланеома D=12***</t>
        </is>
      </c>
      <c r="D414" s="21" t="n">
        <v>1660</v>
      </c>
    </row>
    <row r="415">
      <c r="A415" s="19" t="inlineStr">
        <is>
          <t>гроршечка и кашпо</t>
        </is>
      </c>
      <c r="B415" s="20" t="inlineStr">
        <is>
          <t>01391</t>
        </is>
      </c>
      <c r="C415" s="19" t="inlineStr">
        <is>
          <t>ГОРШ Алоказия D=11***</t>
        </is>
      </c>
      <c r="D415" s="21" t="n">
        <v>1020</v>
      </c>
    </row>
    <row r="416">
      <c r="A416" s="19" t="inlineStr">
        <is>
          <t>гроршечка и кашпо</t>
        </is>
      </c>
      <c r="B416" s="20" t="inlineStr">
        <is>
          <t>01392</t>
        </is>
      </c>
      <c r="C416" s="19" t="inlineStr">
        <is>
          <t>ГОРШ Самшит D=24***</t>
        </is>
      </c>
      <c r="D416" s="21" t="n">
        <v>4210</v>
      </c>
    </row>
    <row r="417">
      <c r="A417" s="19" t="inlineStr">
        <is>
          <t>гроршечка и кашпо</t>
        </is>
      </c>
      <c r="B417" s="20" t="inlineStr">
        <is>
          <t>01393</t>
        </is>
      </c>
      <c r="C417" s="19" t="inlineStr">
        <is>
          <t>ГОРШ Драцена D=19***</t>
        </is>
      </c>
      <c r="D417" s="21" t="n">
        <v>1660</v>
      </c>
    </row>
    <row r="418">
      <c r="A418" s="19" t="inlineStr">
        <is>
          <t>гроршечка и кашпо</t>
        </is>
      </c>
      <c r="B418" s="20" t="inlineStr">
        <is>
          <t>01394</t>
        </is>
      </c>
      <c r="C418" s="19" t="inlineStr">
        <is>
          <t>ГОРШ Фикус ОV D=24***</t>
        </is>
      </c>
      <c r="D418" s="21" t="n">
        <v>5445</v>
      </c>
    </row>
    <row r="419">
      <c r="A419" s="19" t="inlineStr">
        <is>
          <t>гроршечка и кашпо</t>
        </is>
      </c>
      <c r="B419" s="20" t="inlineStr">
        <is>
          <t>01395</t>
        </is>
      </c>
      <c r="C419" s="19" t="inlineStr">
        <is>
          <t>ГОРШ Гортензия D=21***</t>
        </is>
      </c>
      <c r="D419" s="21" t="n">
        <v>3160</v>
      </c>
    </row>
    <row r="420">
      <c r="A420" s="19" t="inlineStr">
        <is>
          <t>гроршечка и кашпо</t>
        </is>
      </c>
      <c r="B420" s="20" t="inlineStr">
        <is>
          <t>01396</t>
        </is>
      </c>
      <c r="C420" s="19" t="inlineStr">
        <is>
          <t>ГОРШ Каланхоэ D=6***</t>
        </is>
      </c>
      <c r="D420" s="21" t="n">
        <v>180</v>
      </c>
    </row>
    <row r="421">
      <c r="A421" s="19" t="inlineStr">
        <is>
          <t>гроршечка и кашпо</t>
        </is>
      </c>
      <c r="B421" s="20" t="inlineStr">
        <is>
          <t>01397</t>
        </is>
      </c>
      <c r="C421" s="19" t="inlineStr">
        <is>
          <t>ГОРШ Ель Перфекта D=23***</t>
        </is>
      </c>
      <c r="D421" s="21" t="n">
        <v>2590</v>
      </c>
    </row>
    <row r="422">
      <c r="A422" s="19" t="inlineStr">
        <is>
          <t>гроршечка и кашпо</t>
        </is>
      </c>
      <c r="B422" s="20" t="inlineStr">
        <is>
          <t>01398</t>
        </is>
      </c>
      <c r="C422" s="19" t="inlineStr">
        <is>
          <t>ГОРШ Ель Глаука D=6***</t>
        </is>
      </c>
      <c r="D422" s="21" t="n">
        <v>290</v>
      </c>
    </row>
    <row r="423">
      <c r="A423" s="19" t="inlineStr">
        <is>
          <t>гроршечка и кашпо</t>
        </is>
      </c>
      <c r="B423" s="20" t="inlineStr">
        <is>
          <t>01399</t>
        </is>
      </c>
      <c r="C423" s="19" t="inlineStr">
        <is>
          <t>ГОРШ Ель OV D=32***</t>
        </is>
      </c>
      <c r="D423" s="21" t="n">
        <v>7320</v>
      </c>
    </row>
    <row r="424">
      <c r="A424" s="19" t="inlineStr">
        <is>
          <t>гроршечка и кашпо</t>
        </is>
      </c>
      <c r="B424" s="20" t="inlineStr">
        <is>
          <t>01400</t>
        </is>
      </c>
      <c r="C424" s="19" t="inlineStr">
        <is>
          <t>ГОРШ Ель OV D=38***</t>
        </is>
      </c>
      <c r="D424" s="21" t="n">
        <v>25090</v>
      </c>
    </row>
    <row r="425">
      <c r="A425" s="19" t="inlineStr">
        <is>
          <t>гроршечка и кашпо</t>
        </is>
      </c>
      <c r="B425" s="20" t="inlineStr">
        <is>
          <t>01401</t>
        </is>
      </c>
      <c r="C425" s="19" t="inlineStr">
        <is>
          <t>ГОРШ Сансевиерия Фернвуд D=14***</t>
        </is>
      </c>
      <c r="D425" s="21" t="n">
        <v>1950</v>
      </c>
    </row>
    <row r="426">
      <c r="A426" s="19" t="inlineStr">
        <is>
          <t>гроршечка и кашпо</t>
        </is>
      </c>
      <c r="B426" s="20" t="inlineStr">
        <is>
          <t>01402</t>
        </is>
      </c>
      <c r="C426" s="19" t="inlineStr">
        <is>
          <t>ГОРШ Тис Тилли D=26***</t>
        </is>
      </c>
      <c r="D426" s="21" t="n">
        <v>4530</v>
      </c>
    </row>
    <row r="427">
      <c r="A427" s="19" t="inlineStr">
        <is>
          <t>гроршечка и кашпо</t>
        </is>
      </c>
      <c r="B427" s="20" t="inlineStr">
        <is>
          <t>01405</t>
        </is>
      </c>
      <c r="C427" s="19" t="inlineStr">
        <is>
          <t>ГОРШ Туя D=9***</t>
        </is>
      </c>
      <c r="D427" s="21" t="n">
        <v>280</v>
      </c>
    </row>
    <row r="428">
      <c r="A428" s="19" t="inlineStr">
        <is>
          <t>гроршечка и кашпо</t>
        </is>
      </c>
      <c r="B428" s="20" t="inlineStr">
        <is>
          <t>01406</t>
        </is>
      </c>
      <c r="C428" s="19" t="inlineStr">
        <is>
          <t>ГОРШ Туя OV D=38</t>
        </is>
      </c>
      <c r="D428" s="21" t="n">
        <v>8630</v>
      </c>
    </row>
    <row r="429">
      <c r="A429" s="19" t="inlineStr">
        <is>
          <t>гроршечка и кашпо</t>
        </is>
      </c>
      <c r="B429" s="20" t="inlineStr">
        <is>
          <t>01407</t>
        </is>
      </c>
      <c r="C429" s="19" t="inlineStr">
        <is>
          <t>ГОРШ Замиокулькас Зензи D=21***</t>
        </is>
      </c>
      <c r="D429" s="21" t="n">
        <v>3020</v>
      </c>
    </row>
    <row r="430">
      <c r="A430" s="19" t="inlineStr">
        <is>
          <t>гроршечка и кашпо</t>
        </is>
      </c>
      <c r="B430" s="20" t="inlineStr">
        <is>
          <t>01404</t>
        </is>
      </c>
      <c r="C430" s="19" t="inlineStr">
        <is>
          <t>ГОРШ Туя Даника D=23***</t>
        </is>
      </c>
      <c r="D430" s="21" t="n">
        <v>2500</v>
      </c>
    </row>
    <row r="431">
      <c r="A431" s="19" t="inlineStr">
        <is>
          <t>гроршечка и кашпо</t>
        </is>
      </c>
      <c r="B431" s="20" t="inlineStr">
        <is>
          <t>01403</t>
        </is>
      </c>
      <c r="C431" s="19" t="inlineStr">
        <is>
          <t>ГОРШ Туя Даника D=32***</t>
        </is>
      </c>
      <c r="D431" s="21" t="n">
        <v>6500</v>
      </c>
    </row>
    <row r="432">
      <c r="A432" s="19" t="inlineStr">
        <is>
          <t>упаковка</t>
        </is>
      </c>
      <c r="B432" s="20" t="inlineStr">
        <is>
          <t>00400</t>
        </is>
      </c>
      <c r="C432" s="19" t="inlineStr">
        <is>
          <t>блеск для листьев 250 мл</t>
        </is>
      </c>
      <c r="D432" s="21" t="n">
        <v>280</v>
      </c>
    </row>
    <row r="433">
      <c r="A433" s="19" t="inlineStr">
        <is>
          <t>упаковка</t>
        </is>
      </c>
      <c r="B433" s="20" t="inlineStr">
        <is>
          <t>00401</t>
        </is>
      </c>
      <c r="C433" s="19" t="inlineStr">
        <is>
          <t>блеск для листьев 600 мл</t>
        </is>
      </c>
      <c r="D433" s="21" t="n">
        <v>799</v>
      </c>
    </row>
    <row r="434">
      <c r="A434" s="19" t="inlineStr">
        <is>
          <t>упаковка</t>
        </is>
      </c>
      <c r="B434" s="20" t="inlineStr">
        <is>
          <t>00392</t>
        </is>
      </c>
      <c r="C434" s="19" t="inlineStr">
        <is>
          <t>краска для окрашивания живых цветов 300 мл</t>
        </is>
      </c>
      <c r="D434" s="21" t="n">
        <v>215</v>
      </c>
    </row>
    <row r="435">
      <c r="A435" s="19" t="inlineStr">
        <is>
          <t>упаковка</t>
        </is>
      </c>
      <c r="B435" s="20" t="inlineStr">
        <is>
          <t>00021</t>
        </is>
      </c>
      <c r="C435" s="19" t="inlineStr">
        <is>
          <t>крафт 1 кг</t>
        </is>
      </c>
      <c r="D435" s="21" t="n">
        <v>215</v>
      </c>
    </row>
    <row r="436">
      <c r="A436" s="19" t="inlineStr">
        <is>
          <t>упаковка</t>
        </is>
      </c>
      <c r="B436" s="20" t="inlineStr">
        <is>
          <t>00414</t>
        </is>
      </c>
      <c r="C436" s="19" t="inlineStr">
        <is>
          <t>крафт 5кг</t>
        </is>
      </c>
      <c r="D436" s="21" t="n">
        <v>935</v>
      </c>
    </row>
    <row r="437">
      <c r="A437" s="19" t="inlineStr">
        <is>
          <t>упаковка</t>
        </is>
      </c>
      <c r="B437" s="20" t="inlineStr">
        <is>
          <t>00180</t>
        </is>
      </c>
      <c r="C437" s="19" t="inlineStr">
        <is>
          <t>крафт цветной</t>
        </is>
      </c>
      <c r="D437" s="21" t="n">
        <v>180</v>
      </c>
    </row>
    <row r="438">
      <c r="A438" s="19" t="inlineStr">
        <is>
          <t>упаковка</t>
        </is>
      </c>
      <c r="B438" s="20" t="inlineStr">
        <is>
          <t>00327</t>
        </is>
      </c>
      <c r="C438" s="19" t="inlineStr">
        <is>
          <t>кризал</t>
        </is>
      </c>
      <c r="D438" s="21" t="n">
        <v>10</v>
      </c>
    </row>
    <row r="439">
      <c r="A439" s="19" t="inlineStr">
        <is>
          <t>упаковка</t>
        </is>
      </c>
      <c r="B439" s="20" t="inlineStr">
        <is>
          <t>00015</t>
        </is>
      </c>
      <c r="C439" s="19" t="inlineStr">
        <is>
          <t>лента атласная узкая Опт</t>
        </is>
      </c>
      <c r="D439" s="21" t="n">
        <v>49.9</v>
      </c>
    </row>
    <row r="440">
      <c r="A440" s="19" t="inlineStr">
        <is>
          <t>упаковка</t>
        </is>
      </c>
      <c r="B440" s="20" t="inlineStr">
        <is>
          <t>00016</t>
        </is>
      </c>
      <c r="C440" s="19" t="inlineStr">
        <is>
          <t>лента атласная широкая Опт</t>
        </is>
      </c>
      <c r="D440" s="21" t="n">
        <v>140</v>
      </c>
    </row>
    <row r="441">
      <c r="A441" s="19" t="inlineStr">
        <is>
          <t>упаковка</t>
        </is>
      </c>
      <c r="B441" s="20" t="inlineStr">
        <is>
          <t>00002</t>
        </is>
      </c>
      <c r="C441" s="19" t="inlineStr">
        <is>
          <t>лента простая 0.5/500</t>
        </is>
      </c>
      <c r="D441" s="21" t="n">
        <v>170</v>
      </c>
    </row>
    <row r="442">
      <c r="A442" s="19" t="inlineStr">
        <is>
          <t>упаковка</t>
        </is>
      </c>
      <c r="B442" s="20" t="inlineStr">
        <is>
          <t>00393</t>
        </is>
      </c>
      <c r="C442" s="19" t="inlineStr">
        <is>
          <t>лента простая 2\100</t>
        </is>
      </c>
      <c r="D442" s="21" t="n">
        <v>85</v>
      </c>
    </row>
    <row r="443">
      <c r="A443" s="19" t="inlineStr">
        <is>
          <t>упаковка</t>
        </is>
      </c>
      <c r="B443" s="20" t="inlineStr">
        <is>
          <t>00320</t>
        </is>
      </c>
      <c r="C443" s="19" t="inlineStr">
        <is>
          <t>ножницы</t>
        </is>
      </c>
      <c r="D443" s="21" t="n">
        <v>100</v>
      </c>
    </row>
    <row r="444">
      <c r="A444" s="19" t="inlineStr">
        <is>
          <t>упаковка</t>
        </is>
      </c>
      <c r="B444" s="20" t="inlineStr">
        <is>
          <t>00003</t>
        </is>
      </c>
      <c r="C444" s="19" t="inlineStr">
        <is>
          <t>оазис***</t>
        </is>
      </c>
      <c r="D444" s="21" t="n">
        <v>79.90000000000001</v>
      </c>
    </row>
    <row r="445">
      <c r="A445" s="19" t="inlineStr">
        <is>
          <t>упаковка</t>
        </is>
      </c>
      <c r="B445" s="20" t="inlineStr">
        <is>
          <t>00112</t>
        </is>
      </c>
      <c r="C445" s="19" t="inlineStr">
        <is>
          <t>пистолет клеевой</t>
        </is>
      </c>
      <c r="D445" s="21" t="n">
        <v>550</v>
      </c>
    </row>
    <row r="446">
      <c r="A446" s="19" t="inlineStr">
        <is>
          <t>упаковка</t>
        </is>
      </c>
      <c r="B446" s="20" t="inlineStr">
        <is>
          <t>01049</t>
        </is>
      </c>
      <c r="C446" s="19" t="inlineStr">
        <is>
          <t>Пленка матовая 0.8 кг большая</t>
        </is>
      </c>
      <c r="D446" s="21" t="n">
        <v>450</v>
      </c>
    </row>
    <row r="447">
      <c r="A447" s="19" t="inlineStr">
        <is>
          <t>упаковка</t>
        </is>
      </c>
      <c r="B447" s="20" t="inlineStr">
        <is>
          <t>00017</t>
        </is>
      </c>
      <c r="C447" s="19" t="inlineStr">
        <is>
          <t>пленка матовая Опт</t>
        </is>
      </c>
      <c r="D447" s="21" t="n">
        <v>199</v>
      </c>
    </row>
    <row r="448">
      <c r="A448" s="19" t="inlineStr">
        <is>
          <t>упаковка</t>
        </is>
      </c>
      <c r="B448" s="20" t="inlineStr">
        <is>
          <t>00398</t>
        </is>
      </c>
      <c r="C448" s="19" t="inlineStr">
        <is>
          <t>пленка прозрачная 0.4 кг</t>
        </is>
      </c>
      <c r="D448" s="21" t="n">
        <v>139</v>
      </c>
    </row>
    <row r="449">
      <c r="A449" s="19" t="inlineStr">
        <is>
          <t>упаковка</t>
        </is>
      </c>
      <c r="B449" s="20" t="inlineStr">
        <is>
          <t>00689</t>
        </is>
      </c>
      <c r="C449" s="19" t="inlineStr">
        <is>
          <t>прищепка деревянная 2.5см</t>
        </is>
      </c>
      <c r="D449" s="21" t="n">
        <v>4</v>
      </c>
    </row>
    <row r="450">
      <c r="A450" s="19" t="inlineStr">
        <is>
          <t>упаковка</t>
        </is>
      </c>
      <c r="B450" s="20" t="inlineStr">
        <is>
          <t>00117</t>
        </is>
      </c>
      <c r="C450" s="19" t="inlineStr">
        <is>
          <t>проволока для гербер</t>
        </is>
      </c>
      <c r="D450" s="21" t="n">
        <v>580</v>
      </c>
    </row>
    <row r="451">
      <c r="A451" s="19" t="inlineStr">
        <is>
          <t>упаковка</t>
        </is>
      </c>
      <c r="B451" s="20" t="inlineStr">
        <is>
          <t>00482</t>
        </is>
      </c>
      <c r="C451" s="19" t="inlineStr">
        <is>
          <t>Секатор 803 SK</t>
        </is>
      </c>
      <c r="D451" s="21" t="n">
        <v>440</v>
      </c>
    </row>
    <row r="452">
      <c r="A452" s="19" t="inlineStr">
        <is>
          <t>упаковка</t>
        </is>
      </c>
      <c r="B452" s="20" t="inlineStr">
        <is>
          <t>00402</t>
        </is>
      </c>
      <c r="C452" s="19" t="inlineStr">
        <is>
          <t>спрей краска***</t>
        </is>
      </c>
      <c r="D452" s="21" t="n">
        <v>400</v>
      </c>
    </row>
    <row r="453">
      <c r="A453" s="19" t="inlineStr">
        <is>
          <t>упаковка</t>
        </is>
      </c>
      <c r="B453" s="20" t="inlineStr">
        <is>
          <t>00110</t>
        </is>
      </c>
      <c r="C453" s="19" t="inlineStr">
        <is>
          <t>стержень клеевой прозр 10 шт</t>
        </is>
      </c>
      <c r="D453" s="21" t="n">
        <v>200</v>
      </c>
    </row>
    <row r="454">
      <c r="A454" s="19" t="inlineStr">
        <is>
          <t>упаковка</t>
        </is>
      </c>
      <c r="B454" s="20" t="inlineStr">
        <is>
          <t>00065</t>
        </is>
      </c>
      <c r="C454" s="19" t="inlineStr">
        <is>
          <t>удлинитель для орхидей</t>
        </is>
      </c>
      <c r="D454" s="21" t="n">
        <v>5.9</v>
      </c>
    </row>
    <row r="455">
      <c r="A455" s="19" t="inlineStr">
        <is>
          <t>упаковка</t>
        </is>
      </c>
      <c r="B455" s="20" t="inlineStr">
        <is>
          <t>00019</t>
        </is>
      </c>
      <c r="C455" s="19" t="inlineStr">
        <is>
          <t>упаковка тишью Опт</t>
        </is>
      </c>
      <c r="D455" s="21" t="n">
        <v>59.9</v>
      </c>
    </row>
    <row r="456">
      <c r="A456" s="19" t="inlineStr">
        <is>
          <t>упаковка</t>
        </is>
      </c>
      <c r="B456" s="20" t="inlineStr">
        <is>
          <t>00020</t>
        </is>
      </c>
      <c r="C456" s="19" t="inlineStr">
        <is>
          <t>фоамиран 1мм 10 листов</t>
        </is>
      </c>
      <c r="D456" s="21" t="n">
        <v>500</v>
      </c>
    </row>
    <row r="457">
      <c r="A457" s="19" t="inlineStr">
        <is>
          <t>упаковка</t>
        </is>
      </c>
      <c r="B457" s="20" t="inlineStr">
        <is>
          <t>00146</t>
        </is>
      </c>
      <c r="C457" s="19" t="inlineStr">
        <is>
          <t>хлопок ветка***</t>
        </is>
      </c>
      <c r="D457" s="21" t="n">
        <v>275</v>
      </c>
    </row>
    <row r="458">
      <c r="A458" s="19" t="inlineStr">
        <is>
          <t>упаковка</t>
        </is>
      </c>
      <c r="B458" s="20" t="inlineStr">
        <is>
          <t>00403</t>
        </is>
      </c>
      <c r="C458" s="19" t="inlineStr">
        <is>
          <t>шпагат натур джутовый</t>
        </is>
      </c>
      <c r="D458" s="21" t="n">
        <v>800</v>
      </c>
    </row>
    <row r="459">
      <c r="A459" s="19" t="inlineStr">
        <is>
          <t>подарочные коробки</t>
        </is>
      </c>
      <c r="B459" s="20" t="inlineStr">
        <is>
          <t>00390</t>
        </is>
      </c>
      <c r="C459" s="19" t="inlineStr">
        <is>
          <t>коробка квадрат набор из 5 шт</t>
        </is>
      </c>
      <c r="D459" s="21" t="n">
        <v>675</v>
      </c>
    </row>
    <row r="460">
      <c r="A460" s="19" t="inlineStr">
        <is>
          <t>подарочные коробки</t>
        </is>
      </c>
      <c r="B460" s="20" t="inlineStr">
        <is>
          <t>00069</t>
        </is>
      </c>
      <c r="C460" s="19" t="inlineStr">
        <is>
          <t>коробка набор сердце</t>
        </is>
      </c>
      <c r="D460" s="21" t="n">
        <v>850</v>
      </c>
    </row>
    <row r="461">
      <c r="A461" s="19" t="inlineStr">
        <is>
          <t>пакеты подарочные сумочки для цветов</t>
        </is>
      </c>
      <c r="B461" s="20" t="inlineStr">
        <is>
          <t>00405</t>
        </is>
      </c>
      <c r="C461" s="19" t="inlineStr">
        <is>
          <t>Ваза Пластик (аквабокс) D 15 прозрачный</t>
        </is>
      </c>
      <c r="D461" s="21" t="n">
        <v>120</v>
      </c>
    </row>
    <row r="462">
      <c r="A462" s="19" t="inlineStr">
        <is>
          <t>пакеты подарочные сумочки для цветов</t>
        </is>
      </c>
      <c r="B462" s="20" t="inlineStr">
        <is>
          <t>00799</t>
        </is>
      </c>
      <c r="C462" s="19" t="inlineStr">
        <is>
          <t>ваза пластиковая Д 14.5  Н 14.5</t>
        </is>
      </c>
      <c r="D462" s="21" t="n">
        <v>70</v>
      </c>
    </row>
    <row r="463">
      <c r="A463" s="19" t="inlineStr">
        <is>
          <t>пакеты подарочные сумочки для цветов</t>
        </is>
      </c>
      <c r="B463" s="20" t="inlineStr">
        <is>
          <t>00157</t>
        </is>
      </c>
      <c r="C463" s="19" t="inlineStr">
        <is>
          <t>пакет подарочный большой</t>
        </is>
      </c>
      <c r="D463" s="21" t="n">
        <v>110</v>
      </c>
    </row>
    <row r="464">
      <c r="A464" s="19" t="inlineStr">
        <is>
          <t>пакеты подарочные сумочки для цветов</t>
        </is>
      </c>
      <c r="B464" s="20" t="inlineStr">
        <is>
          <t>00154</t>
        </is>
      </c>
      <c r="C464" s="19" t="inlineStr">
        <is>
          <t>пакет подарочный маленький</t>
        </is>
      </c>
      <c r="D464" s="21" t="n">
        <v>45</v>
      </c>
    </row>
    <row r="465">
      <c r="A465" s="19" t="inlineStr">
        <is>
          <t>пакеты подарочные сумочки для цветов</t>
        </is>
      </c>
      <c r="B465" s="20" t="inlineStr">
        <is>
          <t>00223</t>
        </is>
      </c>
      <c r="C465" s="19" t="inlineStr">
        <is>
          <t>пакет подарочный огромный</t>
        </is>
      </c>
      <c r="D465" s="21" t="n">
        <v>300</v>
      </c>
    </row>
    <row r="466">
      <c r="A466" s="19" t="inlineStr">
        <is>
          <t>пакеты подарочные сумочки для цветов</t>
        </is>
      </c>
      <c r="B466" s="20" t="inlineStr">
        <is>
          <t>00156</t>
        </is>
      </c>
      <c r="C466" s="19" t="inlineStr">
        <is>
          <t>пакет подарочный средний</t>
        </is>
      </c>
      <c r="D466" s="21" t="n">
        <v>65</v>
      </c>
    </row>
    <row r="467">
      <c r="A467" s="19" t="inlineStr">
        <is>
          <t>пакеты подарочные сумочки для цветов</t>
        </is>
      </c>
      <c r="B467" s="20" t="inlineStr">
        <is>
          <t>00074</t>
        </is>
      </c>
      <c r="C467" s="19" t="inlineStr">
        <is>
          <t>сумочка для цветов 12-8</t>
        </is>
      </c>
      <c r="D467" s="21" t="n">
        <v>75.90000000000001</v>
      </c>
    </row>
    <row r="468">
      <c r="A468" s="19" t="inlineStr">
        <is>
          <t>пакеты подарочные сумочки для цветов</t>
        </is>
      </c>
      <c r="B468" s="20" t="inlineStr">
        <is>
          <t>00442</t>
        </is>
      </c>
      <c r="C468" s="19" t="inlineStr">
        <is>
          <t>сумочка прозрачная для переноски цветов</t>
        </is>
      </c>
      <c r="D468" s="21" t="n">
        <v>150</v>
      </c>
    </row>
    <row r="469">
      <c r="A469" s="19" t="inlineStr">
        <is>
          <t>открытки</t>
        </is>
      </c>
      <c r="B469" s="20" t="inlineStr">
        <is>
          <t>00387</t>
        </is>
      </c>
      <c r="C469" s="19" t="inlineStr">
        <is>
          <t>конверт для денег</t>
        </is>
      </c>
      <c r="D469" s="21" t="n">
        <v>15</v>
      </c>
    </row>
    <row r="470">
      <c r="A470" s="19" t="inlineStr">
        <is>
          <t>открытки</t>
        </is>
      </c>
      <c r="B470" s="20" t="inlineStr">
        <is>
          <t>00489</t>
        </is>
      </c>
      <c r="C470" s="19" t="inlineStr">
        <is>
          <t>мини открытка</t>
        </is>
      </c>
      <c r="D470" s="21" t="n">
        <v>6</v>
      </c>
    </row>
    <row r="471">
      <c r="A471" s="19" t="inlineStr">
        <is>
          <t>открытки</t>
        </is>
      </c>
      <c r="B471" s="20" t="inlineStr">
        <is>
          <t>00434</t>
        </is>
      </c>
      <c r="C471" s="19" t="inlineStr">
        <is>
          <t>Открытка большая набор 5 шт</t>
        </is>
      </c>
      <c r="D471" s="21" t="n">
        <v>15</v>
      </c>
    </row>
    <row r="472">
      <c r="A472" s="19" t="inlineStr">
        <is>
          <t>открытки</t>
        </is>
      </c>
      <c r="B472" s="20" t="inlineStr">
        <is>
          <t>01496</t>
        </is>
      </c>
      <c r="C472" s="19" t="inlineStr">
        <is>
          <t>Открытка***</t>
        </is>
      </c>
      <c r="D472" s="21" t="n">
        <v>20.9</v>
      </c>
    </row>
    <row r="473">
      <c r="A473" s="19" t="inlineStr">
        <is>
          <t>корзины</t>
        </is>
      </c>
      <c r="B473" s="20" t="inlineStr">
        <is>
          <t>00550</t>
        </is>
      </c>
      <c r="C473" s="19" t="inlineStr">
        <is>
          <t>44 34 42 корзина</t>
        </is>
      </c>
      <c r="D473" s="21" t="n">
        <v>1952</v>
      </c>
    </row>
    <row r="474">
      <c r="A474" s="19" t="inlineStr">
        <is>
          <t>корзины</t>
        </is>
      </c>
      <c r="B474" s="20" t="inlineStr">
        <is>
          <t>00461</t>
        </is>
      </c>
      <c r="C474" s="19" t="inlineStr">
        <is>
          <t>Корзина 3 шт плетеная ива 38 32 36 M-28-16</t>
        </is>
      </c>
      <c r="D474" s="21" t="n">
        <v>1250</v>
      </c>
    </row>
    <row r="475">
      <c r="A475" s="19" t="inlineStr">
        <is>
          <t>корзины</t>
        </is>
      </c>
      <c r="B475" s="20" t="inlineStr">
        <is>
          <t>00459</t>
        </is>
      </c>
      <c r="C475" s="19" t="inlineStr">
        <is>
          <t>Корзина  3шт плетеная ива D24 H11 28 см WB0015-15</t>
        </is>
      </c>
      <c r="D475" s="21" t="n">
        <v>1650</v>
      </c>
    </row>
    <row r="476">
      <c r="A476" s="19" t="inlineStr">
        <is>
          <t>корзины</t>
        </is>
      </c>
      <c r="B476" s="20" t="inlineStr">
        <is>
          <t>00460</t>
        </is>
      </c>
      <c r="C476" s="19" t="inlineStr">
        <is>
          <t>Корзина 3 шт плетеная ива D29 16 48 A-4-5</t>
        </is>
      </c>
      <c r="D476" s="21" t="n">
        <v>790</v>
      </c>
    </row>
    <row r="477">
      <c r="A477" s="19" t="inlineStr">
        <is>
          <t>корзины</t>
        </is>
      </c>
      <c r="B477" s="20" t="inlineStr">
        <is>
          <t>00462</t>
        </is>
      </c>
      <c r="C477" s="19" t="inlineStr">
        <is>
          <t>Корзина 3 шт плетеная ива D32 24 H13 32 YM- 130903</t>
        </is>
      </c>
      <c r="D477" s="21" t="n">
        <v>1490</v>
      </c>
    </row>
    <row r="478">
      <c r="A478" s="19" t="inlineStr">
        <is>
          <t>корзины</t>
        </is>
      </c>
      <c r="B478" s="20" t="inlineStr">
        <is>
          <t>00463</t>
        </is>
      </c>
      <c r="C478" s="19" t="inlineStr">
        <is>
          <t>Корзина 3 шт плетеная ива D35 H16 38 YM-878503</t>
        </is>
      </c>
      <c r="D478" s="21" t="n">
        <v>1680</v>
      </c>
    </row>
    <row r="479">
      <c r="A479" s="19" t="inlineStr">
        <is>
          <t>корзины</t>
        </is>
      </c>
      <c r="B479" s="20" t="inlineStr">
        <is>
          <t>00464</t>
        </is>
      </c>
      <c r="C479" s="19" t="inlineStr">
        <is>
          <t>Корзина 3 шт плетеная ива D36 H13 37 YM-812703</t>
        </is>
      </c>
      <c r="D479" s="21" t="n">
        <v>1290</v>
      </c>
    </row>
    <row r="480">
      <c r="A480" s="19" t="inlineStr">
        <is>
          <t>корзины</t>
        </is>
      </c>
      <c r="B480" s="20" t="inlineStr">
        <is>
          <t>00465</t>
        </is>
      </c>
      <c r="C480" s="19" t="inlineStr">
        <is>
          <t>Корзина 3 шт плетеная ива D37.5 31 H12 35 YM-917503</t>
        </is>
      </c>
      <c r="D480" s="21" t="n">
        <v>1570</v>
      </c>
    </row>
    <row r="481">
      <c r="A481" s="19" t="inlineStr">
        <is>
          <t>корзины</t>
        </is>
      </c>
      <c r="B481" s="20" t="inlineStr">
        <is>
          <t>00468</t>
        </is>
      </c>
      <c r="C481" s="19" t="inlineStr">
        <is>
          <t>Корзина 3 шт плетеная ива D39 31 H15 40 YM-8626703</t>
        </is>
      </c>
      <c r="D481" s="21" t="n">
        <v>1750</v>
      </c>
    </row>
    <row r="482">
      <c r="A482" s="19" t="inlineStr">
        <is>
          <t>корзины</t>
        </is>
      </c>
      <c r="B482" s="20" t="inlineStr">
        <is>
          <t>00469</t>
        </is>
      </c>
      <c r="C482" s="19" t="inlineStr">
        <is>
          <t>Корзина 3 шт плетеная ива D40 32.5 H14 39 YM-8627503</t>
        </is>
      </c>
      <c r="D482" s="21" t="n">
        <v>1750</v>
      </c>
    </row>
    <row r="483">
      <c r="A483" s="19" t="inlineStr">
        <is>
          <t>корзины</t>
        </is>
      </c>
      <c r="B483" s="20" t="inlineStr">
        <is>
          <t>00470</t>
        </is>
      </c>
      <c r="C483" s="19" t="inlineStr">
        <is>
          <t>Корзина 3 шт плетеная ива D40 H16 40 YM-8788203</t>
        </is>
      </c>
      <c r="D483" s="21" t="n">
        <v>1350</v>
      </c>
    </row>
    <row r="484">
      <c r="A484" s="19" t="inlineStr">
        <is>
          <t>корзины</t>
        </is>
      </c>
      <c r="B484" s="20" t="inlineStr">
        <is>
          <t>00471</t>
        </is>
      </c>
      <c r="C484" s="19" t="inlineStr">
        <is>
          <t>Корзина 3 шт плетеная ива D48 41 H16 42 YMQL-215303 S/3</t>
        </is>
      </c>
      <c r="D484" s="21" t="n">
        <v>1680</v>
      </c>
    </row>
    <row r="485">
      <c r="A485" s="19" t="inlineStr">
        <is>
          <t>корзины</t>
        </is>
      </c>
      <c r="B485" s="20" t="inlineStr">
        <is>
          <t>01088</t>
        </is>
      </c>
      <c r="C485" s="19" t="inlineStr">
        <is>
          <t>корзина d60***</t>
        </is>
      </c>
      <c r="D485" s="21" t="n">
        <v>3375</v>
      </c>
    </row>
    <row r="486">
      <c r="A486" s="19" t="inlineStr">
        <is>
          <t>корзины</t>
        </is>
      </c>
      <c r="B486" s="20" t="inlineStr">
        <is>
          <t>01089</t>
        </is>
      </c>
      <c r="C486" s="19" t="inlineStr">
        <is>
          <t>Корзина D65***</t>
        </is>
      </c>
      <c r="D486" s="21" t="n">
        <v>3915</v>
      </c>
    </row>
    <row r="487">
      <c r="A487" s="19" t="inlineStr">
        <is>
          <t>корзины</t>
        </is>
      </c>
      <c r="B487" s="20" t="inlineStr">
        <is>
          <t>01090</t>
        </is>
      </c>
      <c r="C487" s="19" t="inlineStr">
        <is>
          <t>Корзина D70***</t>
        </is>
      </c>
      <c r="D487" s="21" t="n">
        <v>4320</v>
      </c>
    </row>
    <row r="488">
      <c r="A488" s="19" t="inlineStr">
        <is>
          <t>корзины</t>
        </is>
      </c>
      <c r="B488" s="20" t="inlineStr">
        <is>
          <t>00458</t>
        </is>
      </c>
      <c r="C488" s="19" t="inlineStr">
        <is>
          <t>корзина бамбук D13*9 5/28 см</t>
        </is>
      </c>
      <c r="D488" s="21" t="n">
        <v>65</v>
      </c>
    </row>
    <row r="489">
      <c r="A489" s="19" t="inlineStr">
        <is>
          <t>корзины</t>
        </is>
      </c>
      <c r="B489" s="20" t="inlineStr">
        <is>
          <t>00592</t>
        </is>
      </c>
      <c r="C489" s="19" t="inlineStr">
        <is>
          <t>корзина ива белая круглая 30 см</t>
        </is>
      </c>
      <c r="D489" s="21" t="n">
        <v>750</v>
      </c>
    </row>
    <row r="490">
      <c r="A490" s="19" t="inlineStr">
        <is>
          <t>корзины</t>
        </is>
      </c>
      <c r="B490" s="20" t="inlineStr">
        <is>
          <t>00548</t>
        </is>
      </c>
      <c r="C490" s="19" t="inlineStr">
        <is>
          <t>корзина ива белая круглая 35см</t>
        </is>
      </c>
      <c r="D490" s="21" t="n">
        <v>955</v>
      </c>
    </row>
    <row r="491">
      <c r="A491" s="19" t="inlineStr">
        <is>
          <t>корзины</t>
        </is>
      </c>
      <c r="B491" s="20" t="inlineStr">
        <is>
          <t>00546</t>
        </is>
      </c>
      <c r="C491" s="19" t="inlineStr">
        <is>
          <t>корзина ива  белая круглая 40см</t>
        </is>
      </c>
      <c r="D491" s="21" t="n">
        <v>1100</v>
      </c>
    </row>
    <row r="492">
      <c r="A492" s="19" t="inlineStr">
        <is>
          <t>корзины</t>
        </is>
      </c>
      <c r="B492" s="20" t="inlineStr">
        <is>
          <t>00545</t>
        </is>
      </c>
      <c r="C492" s="19" t="inlineStr">
        <is>
          <t>корзина ива большая 50 см натур цвет</t>
        </is>
      </c>
      <c r="D492" s="21" t="n">
        <v>1240</v>
      </c>
    </row>
    <row r="493">
      <c r="A493" s="19" t="inlineStr">
        <is>
          <t>корзины</t>
        </is>
      </c>
      <c r="B493" s="20" t="inlineStr">
        <is>
          <t>00544</t>
        </is>
      </c>
      <c r="C493" s="19" t="inlineStr">
        <is>
          <t>корзина ива большая белая 50 см</t>
        </is>
      </c>
      <c r="D493" s="21" t="n">
        <v>1450</v>
      </c>
    </row>
    <row r="494">
      <c r="A494" s="19" t="inlineStr">
        <is>
          <t>корзины</t>
        </is>
      </c>
      <c r="B494" s="20" t="inlineStr">
        <is>
          <t>00590</t>
        </is>
      </c>
      <c r="C494" s="19" t="inlineStr">
        <is>
          <t>корзина ива натур цвет круглая 30см</t>
        </is>
      </c>
      <c r="D494" s="21" t="n">
        <v>590</v>
      </c>
    </row>
    <row r="495">
      <c r="A495" s="19" t="inlineStr">
        <is>
          <t>корзины</t>
        </is>
      </c>
      <c r="B495" s="20" t="inlineStr">
        <is>
          <t>00555</t>
        </is>
      </c>
      <c r="C495" s="19" t="inlineStr">
        <is>
          <t>корзина ива натур цвет круглая 35 см</t>
        </is>
      </c>
      <c r="D495" s="21" t="n">
        <v>900</v>
      </c>
    </row>
    <row r="496">
      <c r="A496" s="19" t="inlineStr">
        <is>
          <t>корзины</t>
        </is>
      </c>
      <c r="B496" s="20" t="inlineStr">
        <is>
          <t>00547</t>
        </is>
      </c>
      <c r="C496" s="19" t="inlineStr">
        <is>
          <t>корзина ива натур цвет круглая 40см</t>
        </is>
      </c>
      <c r="D496" s="21" t="n">
        <v>955</v>
      </c>
    </row>
    <row r="497">
      <c r="A497" s="19" t="inlineStr">
        <is>
          <t>корзины</t>
        </is>
      </c>
      <c r="B497" s="20" t="inlineStr">
        <is>
          <t>00749</t>
        </is>
      </c>
      <c r="C497" s="19" t="inlineStr">
        <is>
          <t>Корзина Квадратная 25*25</t>
        </is>
      </c>
      <c r="D497" s="21" t="n">
        <v>475</v>
      </c>
    </row>
    <row r="498">
      <c r="A498" s="19" t="inlineStr">
        <is>
          <t>корзины</t>
        </is>
      </c>
      <c r="B498" s="20" t="inlineStr">
        <is>
          <t>00748</t>
        </is>
      </c>
      <c r="C498" s="19" t="inlineStr">
        <is>
          <t>Корзина квадратная 30*30</t>
        </is>
      </c>
      <c r="D498" s="21" t="n">
        <v>745</v>
      </c>
    </row>
    <row r="499">
      <c r="A499" s="19" t="inlineStr">
        <is>
          <t>корзины</t>
        </is>
      </c>
      <c r="B499" s="20" t="inlineStr">
        <is>
          <t>00747</t>
        </is>
      </c>
      <c r="C499" s="19" t="inlineStr">
        <is>
          <t>Корзина квадратная 35*35</t>
        </is>
      </c>
      <c r="D499" s="21" t="n">
        <v>1015</v>
      </c>
    </row>
    <row r="500">
      <c r="A500" s="19" t="inlineStr">
        <is>
          <t>корзины</t>
        </is>
      </c>
      <c r="B500" s="20" t="inlineStr">
        <is>
          <t>00746</t>
        </is>
      </c>
      <c r="C500" s="19" t="inlineStr">
        <is>
          <t>Корзина квадратная 40*40</t>
        </is>
      </c>
      <c r="D500" s="21" t="n">
        <v>1285</v>
      </c>
    </row>
    <row r="501">
      <c r="A501" s="19" t="inlineStr">
        <is>
          <t>корзины</t>
        </is>
      </c>
      <c r="B501" s="20" t="inlineStr">
        <is>
          <t>00745</t>
        </is>
      </c>
      <c r="C501" s="19" t="inlineStr">
        <is>
          <t>Корзина квадратная 45*45</t>
        </is>
      </c>
      <c r="D501" s="21" t="n">
        <v>1620</v>
      </c>
    </row>
    <row r="502">
      <c r="A502" s="19" t="inlineStr">
        <is>
          <t>корзины</t>
        </is>
      </c>
      <c r="B502" s="20" t="inlineStr">
        <is>
          <t>00743</t>
        </is>
      </c>
      <c r="C502" s="19" t="inlineStr">
        <is>
          <t>Корзина Квадратная  50 * 50</t>
        </is>
      </c>
      <c r="D502" s="21" t="n">
        <v>1890</v>
      </c>
    </row>
    <row r="503">
      <c r="A503" s="19" t="inlineStr">
        <is>
          <t>корзины</t>
        </is>
      </c>
      <c r="B503" s="20" t="inlineStr">
        <is>
          <t>00083</t>
        </is>
      </c>
      <c r="C503" s="19" t="inlineStr">
        <is>
          <t>корзина квадратное дно 28*25 белая</t>
        </is>
      </c>
      <c r="D503" s="21" t="n">
        <v>440</v>
      </c>
    </row>
    <row r="504">
      <c r="A504" s="19" t="inlineStr">
        <is>
          <t>корзины</t>
        </is>
      </c>
      <c r="B504" s="20" t="inlineStr">
        <is>
          <t>00479</t>
        </is>
      </c>
      <c r="C504" s="19" t="inlineStr">
        <is>
          <t>корзина круглая белая 20 см</t>
        </is>
      </c>
      <c r="D504" s="21" t="n">
        <v>300</v>
      </c>
    </row>
    <row r="505">
      <c r="A505" s="19" t="inlineStr">
        <is>
          <t>корзины</t>
        </is>
      </c>
      <c r="B505" s="20" t="inlineStr">
        <is>
          <t>00084</t>
        </is>
      </c>
      <c r="C505" s="19" t="inlineStr">
        <is>
          <t>корзина круглая белая 24 см</t>
        </is>
      </c>
      <c r="D505" s="21" t="n">
        <v>375</v>
      </c>
    </row>
    <row r="506">
      <c r="A506" s="19" t="inlineStr">
        <is>
          <t>корзины</t>
        </is>
      </c>
      <c r="B506" s="20" t="inlineStr">
        <is>
          <t>00467</t>
        </is>
      </c>
      <c r="C506" s="19" t="inlineStr">
        <is>
          <t>Корзина плетеная 3 шт ива D39 29 H18 14 39 YM-151603</t>
        </is>
      </c>
      <c r="D506" s="21" t="n">
        <v>1840</v>
      </c>
    </row>
    <row r="507">
      <c r="A507" s="19" t="inlineStr">
        <is>
          <t>корзины</t>
        </is>
      </c>
      <c r="B507" s="20" t="inlineStr">
        <is>
          <t>00818</t>
        </is>
      </c>
      <c r="C507" s="19" t="inlineStr">
        <is>
          <t>Корзина плетеная ива 3шт 28х28х32 s-28</t>
        </is>
      </c>
      <c r="D507" s="21" t="n">
        <v>995</v>
      </c>
    </row>
    <row r="508">
      <c r="A508" s="19" t="inlineStr">
        <is>
          <t>корзины</t>
        </is>
      </c>
      <c r="B508" s="20" t="inlineStr">
        <is>
          <t>00819</t>
        </is>
      </c>
      <c r="C508" s="19" t="inlineStr">
        <is>
          <t>Корзина плетеная ива 3 шт 34х34х36 м-28-36 белый\розовый</t>
        </is>
      </c>
      <c r="D508" s="21" t="n">
        <v>1190</v>
      </c>
    </row>
    <row r="509">
      <c r="A509" s="19" t="inlineStr">
        <is>
          <t>корзины</t>
        </is>
      </c>
      <c r="B509" s="20" t="inlineStr">
        <is>
          <t>00410</t>
        </is>
      </c>
      <c r="C509" s="19" t="inlineStr">
        <is>
          <t>КОРЗИНА ПЛЕТЕНАЯ ИВА 3 ШТ д 37.5Х31ХН12х35 смYM-917503</t>
        </is>
      </c>
      <c r="D509" s="21" t="n">
        <v>1610</v>
      </c>
    </row>
    <row r="510">
      <c r="A510" s="19" t="inlineStr">
        <is>
          <t>корзины</t>
        </is>
      </c>
      <c r="B510" s="20" t="inlineStr">
        <is>
          <t>00744</t>
        </is>
      </c>
      <c r="C510" s="19" t="inlineStr">
        <is>
          <t>Корзина прямоугольная 45*30</t>
        </is>
      </c>
      <c r="D510" s="21" t="n">
        <v>2295</v>
      </c>
    </row>
    <row r="511">
      <c r="A511" s="19" t="inlineStr">
        <is>
          <t>игрушки мягкие</t>
        </is>
      </c>
      <c r="B511" s="20" t="inlineStr">
        <is>
          <t>00578</t>
        </is>
      </c>
      <c r="C511" s="19" t="inlineStr">
        <is>
          <t>Мишка 100</t>
        </is>
      </c>
      <c r="D511" s="21" t="n">
        <v>2180</v>
      </c>
    </row>
    <row r="512">
      <c r="A512" s="19" t="inlineStr">
        <is>
          <t>игрушки мягкие</t>
        </is>
      </c>
      <c r="B512" s="20" t="inlineStr">
        <is>
          <t>00579</t>
        </is>
      </c>
      <c r="C512" s="19" t="inlineStr">
        <is>
          <t>Мишка 110</t>
        </is>
      </c>
      <c r="D512" s="21" t="n">
        <v>2340</v>
      </c>
    </row>
    <row r="513">
      <c r="A513" s="19" t="inlineStr">
        <is>
          <t>игрушки мягкие</t>
        </is>
      </c>
      <c r="B513" s="20" t="inlineStr">
        <is>
          <t>00580</t>
        </is>
      </c>
      <c r="C513" s="19" t="inlineStr">
        <is>
          <t>Мишка 120</t>
        </is>
      </c>
      <c r="D513" s="21" t="n">
        <v>3355</v>
      </c>
    </row>
    <row r="514">
      <c r="A514" s="19" t="inlineStr">
        <is>
          <t>игрушки мягкие</t>
        </is>
      </c>
      <c r="B514" s="20" t="inlineStr">
        <is>
          <t>00581</t>
        </is>
      </c>
      <c r="C514" s="19" t="inlineStr">
        <is>
          <t>Мишка 130</t>
        </is>
      </c>
      <c r="D514" s="21" t="n">
        <v>3885</v>
      </c>
    </row>
    <row r="515">
      <c r="A515" s="19" t="inlineStr">
        <is>
          <t>игрушки мягкие</t>
        </is>
      </c>
      <c r="B515" s="20" t="inlineStr">
        <is>
          <t>00582</t>
        </is>
      </c>
      <c r="C515" s="19" t="inlineStr">
        <is>
          <t>Мишка 150</t>
        </is>
      </c>
      <c r="D515" s="21" t="n">
        <v>5400</v>
      </c>
    </row>
    <row r="516">
      <c r="A516" s="19" t="inlineStr">
        <is>
          <t>игрушки мягкие</t>
        </is>
      </c>
      <c r="B516" s="20" t="inlineStr">
        <is>
          <t>00583</t>
        </is>
      </c>
      <c r="C516" s="19" t="inlineStr">
        <is>
          <t>Мишка 200</t>
        </is>
      </c>
      <c r="D516" s="21" t="n">
        <v>7464</v>
      </c>
    </row>
    <row r="517">
      <c r="A517" s="19" t="inlineStr">
        <is>
          <t>игрушки мягкие</t>
        </is>
      </c>
      <c r="B517" s="20" t="inlineStr">
        <is>
          <t>00584</t>
        </is>
      </c>
      <c r="C517" s="19" t="inlineStr">
        <is>
          <t>Мишка 220</t>
        </is>
      </c>
      <c r="D517" s="21" t="n">
        <v>8870</v>
      </c>
    </row>
    <row r="518">
      <c r="A518" s="19" t="inlineStr">
        <is>
          <t>игрушки мягкие</t>
        </is>
      </c>
      <c r="B518" s="20" t="inlineStr">
        <is>
          <t>00574</t>
        </is>
      </c>
      <c r="C518" s="19" t="inlineStr">
        <is>
          <t>Мишка 38</t>
        </is>
      </c>
      <c r="D518" s="21" t="n">
        <v>840</v>
      </c>
    </row>
    <row r="519">
      <c r="A519" s="19" t="inlineStr">
        <is>
          <t>игрушки мягкие</t>
        </is>
      </c>
      <c r="B519" s="20" t="inlineStr">
        <is>
          <t>00575</t>
        </is>
      </c>
      <c r="C519" s="19" t="inlineStr">
        <is>
          <t>Мишка 50</t>
        </is>
      </c>
      <c r="D519" s="21" t="n">
        <v>1020</v>
      </c>
    </row>
    <row r="520">
      <c r="A520" s="19" t="inlineStr">
        <is>
          <t>игрушки мягкие</t>
        </is>
      </c>
      <c r="B520" s="20" t="inlineStr">
        <is>
          <t>00576</t>
        </is>
      </c>
      <c r="C520" s="19" t="inlineStr">
        <is>
          <t>Мишка 70</t>
        </is>
      </c>
      <c r="D520" s="21" t="n">
        <v>1615</v>
      </c>
    </row>
    <row r="521">
      <c r="A521" s="19" t="inlineStr">
        <is>
          <t>игрушки мягкие</t>
        </is>
      </c>
      <c r="B521" s="20" t="inlineStr">
        <is>
          <t>00577</t>
        </is>
      </c>
      <c r="C521" s="19" t="inlineStr">
        <is>
          <t>Мишка 90</t>
        </is>
      </c>
      <c r="D521" s="21" t="n">
        <v>2180</v>
      </c>
    </row>
    <row r="522">
      <c r="A522" s="19" t="inlineStr">
        <is>
          <t>игрушки мягкие</t>
        </is>
      </c>
      <c r="B522" s="20" t="inlineStr">
        <is>
          <t>01167</t>
        </is>
      </c>
      <c r="C522" s="19" t="inlineStr">
        <is>
          <t>Зайка 50 см</t>
        </is>
      </c>
      <c r="D522" s="21" t="n">
        <v>1588</v>
      </c>
    </row>
    <row r="523">
      <c r="A523" s="19" t="inlineStr">
        <is>
          <t>вазы стекло</t>
        </is>
      </c>
      <c r="B523" s="20" t="inlineStr">
        <is>
          <t>00539</t>
        </is>
      </c>
      <c r="C523" s="19" t="inlineStr">
        <is>
          <t>ваза H60 D25</t>
        </is>
      </c>
      <c r="D523" s="21" t="n">
        <v>3400</v>
      </c>
    </row>
    <row r="524">
      <c r="A524" s="19" t="inlineStr">
        <is>
          <t>вазы стекло</t>
        </is>
      </c>
      <c r="B524" s="20" t="inlineStr">
        <is>
          <t>00781</t>
        </is>
      </c>
      <c r="C524" s="19" t="inlineStr">
        <is>
          <t>ваза керамика 7х10х18 973</t>
        </is>
      </c>
      <c r="D524" s="21" t="n">
        <v>490</v>
      </c>
    </row>
    <row r="525">
      <c r="A525" s="19" t="inlineStr">
        <is>
          <t>вазы стекло</t>
        </is>
      </c>
      <c r="B525" s="20" t="inlineStr">
        <is>
          <t>00782</t>
        </is>
      </c>
      <c r="C525" s="19" t="inlineStr">
        <is>
          <t>ваза керамика 7х17 LZL-52 бирюза</t>
        </is>
      </c>
      <c r="D525" s="21" t="n">
        <v>300</v>
      </c>
    </row>
    <row r="526">
      <c r="A526" s="19" t="inlineStr">
        <is>
          <t>вазы стекло</t>
        </is>
      </c>
      <c r="B526" s="20" t="inlineStr">
        <is>
          <t>00797</t>
        </is>
      </c>
      <c r="C526" s="19" t="inlineStr">
        <is>
          <t>ваза керамика 7х7х18х4.5см 755н372с розовый</t>
        </is>
      </c>
      <c r="D526" s="21" t="n">
        <v>470</v>
      </c>
    </row>
    <row r="527">
      <c r="A527" s="19" t="inlineStr">
        <is>
          <t>вазы стекло</t>
        </is>
      </c>
      <c r="B527" s="20" t="inlineStr">
        <is>
          <t>00798</t>
        </is>
      </c>
      <c r="C527" s="19" t="inlineStr">
        <is>
          <t>ваза керамика 8х17.5LZL-52 белый</t>
        </is>
      </c>
      <c r="D527" s="21" t="n">
        <v>240</v>
      </c>
    </row>
    <row r="528">
      <c r="A528" s="19" t="inlineStr">
        <is>
          <t>вазы стекло</t>
        </is>
      </c>
      <c r="B528" s="20" t="inlineStr">
        <is>
          <t>00800</t>
        </is>
      </c>
      <c r="C528" s="19" t="inlineStr">
        <is>
          <t>Ваза пластиковая Д 15хН 16.5</t>
        </is>
      </c>
      <c r="D528" s="21" t="n">
        <v>115</v>
      </c>
    </row>
    <row r="529">
      <c r="A529" s="19" t="inlineStr">
        <is>
          <t>вазы стекло</t>
        </is>
      </c>
      <c r="B529" s="20" t="inlineStr">
        <is>
          <t>00811</t>
        </is>
      </c>
      <c r="C529" s="19" t="inlineStr">
        <is>
          <t>ваза-подсвечник стекло н 12 д 12см к170</t>
        </is>
      </c>
      <c r="D529" s="21" t="n">
        <v>240</v>
      </c>
    </row>
    <row r="530">
      <c r="A530" s="19" t="inlineStr">
        <is>
          <t>вазы стекло</t>
        </is>
      </c>
      <c r="B530" s="20" t="inlineStr">
        <is>
          <t>00704</t>
        </is>
      </c>
      <c r="C530" s="19" t="inlineStr">
        <is>
          <t>ваза подсвечник стекло р12 д12 к 170</t>
        </is>
      </c>
      <c r="D530" s="21" t="n">
        <v>250</v>
      </c>
    </row>
    <row r="531">
      <c r="A531" s="19" t="inlineStr">
        <is>
          <t>вазы стекло</t>
        </is>
      </c>
      <c r="B531" s="20" t="inlineStr">
        <is>
          <t>00202</t>
        </is>
      </c>
      <c r="C531" s="19" t="inlineStr">
        <is>
          <t>ваза стекло 1538</t>
        </is>
      </c>
      <c r="D531" s="21" t="n">
        <v>1000</v>
      </c>
    </row>
    <row r="532">
      <c r="A532" s="19" t="inlineStr">
        <is>
          <t>вазы стекло</t>
        </is>
      </c>
      <c r="B532" s="20" t="inlineStr">
        <is>
          <t>00201</t>
        </is>
      </c>
      <c r="C532" s="19" t="inlineStr">
        <is>
          <t>ваза стекло 1586  д12х29</t>
        </is>
      </c>
      <c r="D532" s="21" t="n">
        <v>1000</v>
      </c>
    </row>
    <row r="533">
      <c r="A533" s="19" t="inlineStr">
        <is>
          <t>вазы стекло</t>
        </is>
      </c>
      <c r="B533" s="20" t="inlineStr">
        <is>
          <t>00107</t>
        </is>
      </c>
      <c r="C533" s="19" t="inlineStr">
        <is>
          <t>ваза стекло 1605 очень большая</t>
        </is>
      </c>
      <c r="D533" s="21" t="n">
        <v>1460</v>
      </c>
    </row>
    <row r="534">
      <c r="A534" s="19" t="inlineStr">
        <is>
          <t>вазы стекло</t>
        </is>
      </c>
      <c r="B534" s="20" t="inlineStr">
        <is>
          <t>00269</t>
        </is>
      </c>
      <c r="C534" s="19" t="inlineStr">
        <is>
          <t>ваза стекло 1881 д18х25</t>
        </is>
      </c>
      <c r="D534" s="21" t="n">
        <v>1000</v>
      </c>
    </row>
    <row r="535">
      <c r="A535" s="19" t="inlineStr">
        <is>
          <t>вазы стекло</t>
        </is>
      </c>
      <c r="B535" s="20" t="inlineStr">
        <is>
          <t>00265</t>
        </is>
      </c>
      <c r="C535" s="19" t="inlineStr">
        <is>
          <t>ваза стекло 2022 н19д10.7</t>
        </is>
      </c>
      <c r="D535" s="21" t="n">
        <v>1000</v>
      </c>
    </row>
    <row r="536">
      <c r="A536" s="19" t="inlineStr">
        <is>
          <t>вазы стекло</t>
        </is>
      </c>
      <c r="B536" s="20" t="inlineStr">
        <is>
          <t>00208</t>
        </is>
      </c>
      <c r="C536" s="19" t="inlineStr">
        <is>
          <t>ваза стекло 2032 д7.3х30</t>
        </is>
      </c>
      <c r="D536" s="21" t="n">
        <v>1000</v>
      </c>
    </row>
    <row r="537">
      <c r="A537" s="19" t="inlineStr">
        <is>
          <t>вазы стекло</t>
        </is>
      </c>
      <c r="B537" s="20" t="inlineStr">
        <is>
          <t>00690</t>
        </is>
      </c>
      <c r="C537" s="19" t="inlineStr">
        <is>
          <t>ваза стекло 2111 Клавдия Д9-13.5х20см 1.6л</t>
        </is>
      </c>
      <c r="D537" s="21" t="n">
        <v>400</v>
      </c>
    </row>
    <row r="538">
      <c r="A538" s="19" t="inlineStr">
        <is>
          <t>вазы стекло</t>
        </is>
      </c>
      <c r="B538" s="20" t="inlineStr">
        <is>
          <t>00801</t>
        </is>
      </c>
      <c r="C538" s="19" t="inlineStr">
        <is>
          <t>Ваза  стекло 2149 вишенка д 15.5х11.5 для печенья</t>
        </is>
      </c>
      <c r="D538" s="21" t="n">
        <v>270</v>
      </c>
    </row>
    <row r="539">
      <c r="A539" s="19" t="inlineStr">
        <is>
          <t>вазы стекло</t>
        </is>
      </c>
      <c r="B539" s="20" t="inlineStr">
        <is>
          <t>00802</t>
        </is>
      </c>
      <c r="C539" s="19" t="inlineStr">
        <is>
          <t>ваза стекло 2267улитка-2 малая д 20х14см</t>
        </is>
      </c>
      <c r="D539" s="21" t="n">
        <v>310</v>
      </c>
    </row>
    <row r="540">
      <c r="A540" s="19" t="inlineStr">
        <is>
          <t>вазы стекло</t>
        </is>
      </c>
      <c r="B540" s="20" t="inlineStr">
        <is>
          <t>00691</t>
        </is>
      </c>
      <c r="C540" s="19" t="inlineStr">
        <is>
          <t>Ваза стекло 2357 Тициано Д11.5х20см малага</t>
        </is>
      </c>
      <c r="D540" s="21" t="n">
        <v>350</v>
      </c>
    </row>
    <row r="541">
      <c r="A541" s="19" t="inlineStr">
        <is>
          <t>вазы стекло</t>
        </is>
      </c>
      <c r="B541" s="20" t="inlineStr">
        <is>
          <t>00698</t>
        </is>
      </c>
      <c r="C541" s="19" t="inlineStr">
        <is>
          <t>ваза стекло весна 2588   н18д9</t>
        </is>
      </c>
      <c r="D541" s="21" t="n">
        <v>300</v>
      </c>
    </row>
    <row r="542">
      <c r="A542" s="19" t="inlineStr">
        <is>
          <t>вазы стекло</t>
        </is>
      </c>
      <c r="B542" s="20" t="inlineStr">
        <is>
          <t>00808</t>
        </is>
      </c>
      <c r="C542" s="19" t="inlineStr">
        <is>
          <t>ваза стекло квадрат н19.5х7.5см к рельеф золотой край</t>
        </is>
      </c>
      <c r="D542" s="21" t="n">
        <v>680</v>
      </c>
    </row>
    <row r="543">
      <c r="A543" s="19" t="inlineStr">
        <is>
          <t>вазы стекло</t>
        </is>
      </c>
      <c r="B543" s="20" t="inlineStr">
        <is>
          <t>00809</t>
        </is>
      </c>
      <c r="C543" s="19" t="inlineStr">
        <is>
          <t>ваза стекло квадрат н 24х7.5см к</t>
        </is>
      </c>
      <c r="D543" s="21" t="n">
        <v>570</v>
      </c>
    </row>
    <row r="544">
      <c r="A544" s="19" t="inlineStr">
        <is>
          <t>вазы стекло</t>
        </is>
      </c>
      <c r="B544" s="20" t="inlineStr">
        <is>
          <t>00810</t>
        </is>
      </c>
      <c r="C544" s="19" t="inlineStr">
        <is>
          <t>ваза стекло квадрат н 24х9.5 см к</t>
        </is>
      </c>
      <c r="D544" s="21" t="n">
        <v>590</v>
      </c>
    </row>
    <row r="545">
      <c r="A545" s="19" t="inlineStr">
        <is>
          <t>вазы стекло</t>
        </is>
      </c>
      <c r="B545" s="20" t="inlineStr">
        <is>
          <t>00803</t>
        </is>
      </c>
      <c r="C545" s="19" t="inlineStr">
        <is>
          <t>ваза стекло н 11.5 д10\8.5см Кбанка 316</t>
        </is>
      </c>
      <c r="D545" s="21" t="n">
        <v>190</v>
      </c>
    </row>
    <row r="546">
      <c r="A546" s="19" t="inlineStr">
        <is>
          <t>вазы стекло</t>
        </is>
      </c>
      <c r="B546" s="20" t="inlineStr">
        <is>
          <t>00807</t>
        </is>
      </c>
      <c r="C546" s="19" t="inlineStr">
        <is>
          <t>ваза стекло н12д12 к 181 талия</t>
        </is>
      </c>
      <c r="D546" s="21" t="n">
        <v>370</v>
      </c>
    </row>
    <row r="547">
      <c r="A547" s="19" t="inlineStr">
        <is>
          <t>вазы стекло</t>
        </is>
      </c>
      <c r="B547" s="20" t="inlineStr">
        <is>
          <t>00804</t>
        </is>
      </c>
      <c r="C547" s="19" t="inlineStr">
        <is>
          <t>ваза стекло н19 д 16см К</t>
        </is>
      </c>
      <c r="D547" s="21" t="n">
        <v>360</v>
      </c>
    </row>
    <row r="548">
      <c r="A548" s="19" t="inlineStr">
        <is>
          <t>вазы стекло</t>
        </is>
      </c>
      <c r="B548" s="20" t="inlineStr">
        <is>
          <t>00694</t>
        </is>
      </c>
      <c r="C548" s="19" t="inlineStr">
        <is>
          <t>ваза стекло н25 д12 к233 прозрачный</t>
        </is>
      </c>
      <c r="D548" s="21" t="n">
        <v>700</v>
      </c>
    </row>
    <row r="549">
      <c r="A549" s="19" t="inlineStr">
        <is>
          <t>вазы стекло</t>
        </is>
      </c>
      <c r="B549" s="20" t="inlineStr">
        <is>
          <t>00695</t>
        </is>
      </c>
      <c r="C549" s="19" t="inlineStr">
        <is>
          <t>ваза стекло н26 д9.6\9см к290прозрачный</t>
        </is>
      </c>
      <c r="D549" s="21" t="n">
        <v>400</v>
      </c>
    </row>
    <row r="550">
      <c r="A550" s="19" t="inlineStr">
        <is>
          <t>вазы стекло</t>
        </is>
      </c>
      <c r="B550" s="20" t="inlineStr">
        <is>
          <t>00696</t>
        </is>
      </c>
      <c r="C550" s="19" t="inlineStr">
        <is>
          <t>ваза стекло  н29 д11.5.9см к287 прозрачный</t>
        </is>
      </c>
      <c r="D550" s="21" t="n">
        <v>400</v>
      </c>
    </row>
    <row r="551">
      <c r="A551" s="19" t="inlineStr">
        <is>
          <t>вазы стекло</t>
        </is>
      </c>
      <c r="B551" s="20" t="inlineStr">
        <is>
          <t>00697</t>
        </is>
      </c>
      <c r="C551" s="19" t="inlineStr">
        <is>
          <t>Ваза стекло н30 д11.5\10.3 см к283 прозрачный</t>
        </is>
      </c>
      <c r="D551" s="21" t="n">
        <v>400</v>
      </c>
    </row>
    <row r="552">
      <c r="A552" s="19" t="inlineStr">
        <is>
          <t>вазы стекло</t>
        </is>
      </c>
      <c r="B552" s="20" t="inlineStr">
        <is>
          <t>00693</t>
        </is>
      </c>
      <c r="C552" s="19" t="inlineStr">
        <is>
          <t>ваза стекло талия н20 д12 к181</t>
        </is>
      </c>
      <c r="D552" s="21" t="n">
        <v>400</v>
      </c>
    </row>
    <row r="553">
      <c r="A553" s="19" t="inlineStr">
        <is>
          <t>вазы стекло</t>
        </is>
      </c>
      <c r="B553" s="20" t="inlineStr">
        <is>
          <t>00627</t>
        </is>
      </c>
      <c r="C553" s="19" t="inlineStr">
        <is>
          <t>ваза стекло трубка  1538 иберетта-400н400д12</t>
        </is>
      </c>
      <c r="D553" s="21" t="n">
        <v>670</v>
      </c>
    </row>
    <row r="554">
      <c r="A554" s="19" t="inlineStr">
        <is>
          <t>вазы стекло</t>
        </is>
      </c>
      <c r="B554" s="20" t="inlineStr">
        <is>
          <t>00257</t>
        </is>
      </c>
      <c r="C554" s="19" t="inlineStr">
        <is>
          <t>ваза стекло трубка 2021 н14 д 10.7</t>
        </is>
      </c>
      <c r="D554" s="21" t="n">
        <v>1000</v>
      </c>
    </row>
    <row r="555">
      <c r="A555" s="19" t="inlineStr">
        <is>
          <t>вазы стекло</t>
        </is>
      </c>
      <c r="B555" s="20" t="inlineStr">
        <is>
          <t>00409</t>
        </is>
      </c>
      <c r="C555" s="19" t="inlineStr">
        <is>
          <t>ваза стекло трубка 2028 Н35 д 14.6</t>
        </is>
      </c>
      <c r="D555" s="21" t="n">
        <v>770</v>
      </c>
    </row>
    <row r="556">
      <c r="A556" s="19" t="inlineStr">
        <is>
          <t>вазы стекло</t>
        </is>
      </c>
      <c r="B556" s="20" t="inlineStr">
        <is>
          <t>00632</t>
        </is>
      </c>
      <c r="C556" s="19" t="inlineStr">
        <is>
          <t>ваза стекло трубка 2297 н40 д20 к</t>
        </is>
      </c>
      <c r="D556" s="21" t="n">
        <v>1290</v>
      </c>
    </row>
    <row r="557">
      <c r="A557" s="19" t="inlineStr">
        <is>
          <t>вазы стекло</t>
        </is>
      </c>
      <c r="B557" s="20" t="inlineStr">
        <is>
          <t>00633</t>
        </is>
      </c>
      <c r="C557" s="19" t="inlineStr">
        <is>
          <t>ваза стекло трубка 2299 н60 д20</t>
        </is>
      </c>
      <c r="D557" s="21" t="n">
        <v>1510</v>
      </c>
    </row>
    <row r="558">
      <c r="A558" s="19" t="inlineStr">
        <is>
          <t>вазы стекло</t>
        </is>
      </c>
      <c r="B558" s="20" t="inlineStr">
        <is>
          <t>00703</t>
        </is>
      </c>
      <c r="C558" s="19" t="inlineStr">
        <is>
          <t>ваза стекло трубка д6 н15 ротонда</t>
        </is>
      </c>
      <c r="D558" s="21" t="n">
        <v>250</v>
      </c>
    </row>
    <row r="559">
      <c r="A559" s="19" t="inlineStr">
        <is>
          <t>вазы стекло</t>
        </is>
      </c>
      <c r="B559" s="20" t="inlineStr">
        <is>
          <t>00699</t>
        </is>
      </c>
      <c r="C559" s="19" t="inlineStr">
        <is>
          <t>ваза стекло трубка н10 д10 к</t>
        </is>
      </c>
      <c r="D559" s="21" t="n">
        <v>310</v>
      </c>
    </row>
    <row r="560">
      <c r="A560" s="19" t="inlineStr">
        <is>
          <t>вазы стекло</t>
        </is>
      </c>
      <c r="B560" s="20" t="inlineStr">
        <is>
          <t>00610</t>
        </is>
      </c>
      <c r="C560" s="19" t="inlineStr">
        <is>
          <t>ваза стекло трубка Н10Д10К</t>
        </is>
      </c>
      <c r="D560" s="21" t="n">
        <v>303</v>
      </c>
    </row>
    <row r="561">
      <c r="A561" s="19" t="inlineStr">
        <is>
          <t>вазы стекло</t>
        </is>
      </c>
      <c r="B561" s="20" t="inlineStr">
        <is>
          <t>00625</t>
        </is>
      </c>
      <c r="C561" s="19" t="inlineStr">
        <is>
          <t>ваза стекло трубка н20 д 10.5</t>
        </is>
      </c>
      <c r="D561" s="21" t="n">
        <v>310</v>
      </c>
    </row>
    <row r="562">
      <c r="A562" s="19" t="inlineStr">
        <is>
          <t>вазы стекло</t>
        </is>
      </c>
      <c r="B562" s="20" t="inlineStr">
        <is>
          <t>00651</t>
        </is>
      </c>
      <c r="C562" s="19" t="inlineStr">
        <is>
          <t>ваза стекло трубка н28 д14 к176</t>
        </is>
      </c>
      <c r="D562" s="21" t="n">
        <v>490</v>
      </c>
    </row>
    <row r="563">
      <c r="A563" s="19" t="inlineStr">
        <is>
          <t>вазы стекло</t>
        </is>
      </c>
      <c r="B563" s="20" t="inlineStr">
        <is>
          <t>00611</t>
        </is>
      </c>
      <c r="C563" s="19" t="inlineStr">
        <is>
          <t>Ваза стекло трубка Н30 Д10К</t>
        </is>
      </c>
      <c r="D563" s="21" t="n">
        <v>453</v>
      </c>
    </row>
    <row r="564">
      <c r="A564" s="19" t="inlineStr">
        <is>
          <t>вазы стекло</t>
        </is>
      </c>
      <c r="B564" s="20" t="inlineStr">
        <is>
          <t>00612</t>
        </is>
      </c>
      <c r="C564" s="19" t="inlineStr">
        <is>
          <t>Ваза стекло трубка Н35 Д15К</t>
        </is>
      </c>
      <c r="D564" s="21" t="n">
        <v>920</v>
      </c>
    </row>
    <row r="565">
      <c r="A565" s="19" t="inlineStr">
        <is>
          <t>вазы стекло</t>
        </is>
      </c>
      <c r="B565" s="20" t="inlineStr">
        <is>
          <t>00608</t>
        </is>
      </c>
      <c r="C565" s="19" t="inlineStr">
        <is>
          <t>ваза стекло трубка Н40 Д10см</t>
        </is>
      </c>
      <c r="D565" s="21" t="n">
        <v>820</v>
      </c>
    </row>
    <row r="566">
      <c r="A566" s="19" t="inlineStr">
        <is>
          <t>вазы стекло</t>
        </is>
      </c>
      <c r="B566" s="20" t="inlineStr">
        <is>
          <t>00643</t>
        </is>
      </c>
      <c r="C566" s="19" t="inlineStr">
        <is>
          <t>ваза стекло трубка Н40 д15</t>
        </is>
      </c>
      <c r="D566" s="21" t="n">
        <v>700</v>
      </c>
    </row>
    <row r="567">
      <c r="A567" s="19" t="inlineStr">
        <is>
          <t>вазы стекло</t>
        </is>
      </c>
      <c r="B567" s="20" t="inlineStr">
        <is>
          <t>00700</t>
        </is>
      </c>
      <c r="C567" s="19" t="inlineStr">
        <is>
          <t>ваза стекло трубка н50 д15 к</t>
        </is>
      </c>
      <c r="D567" s="21" t="n">
        <v>930</v>
      </c>
    </row>
    <row r="568">
      <c r="A568" s="19" t="inlineStr">
        <is>
          <t>вазы стекло</t>
        </is>
      </c>
      <c r="B568" s="20" t="inlineStr">
        <is>
          <t>00614</t>
        </is>
      </c>
      <c r="C568" s="19" t="inlineStr">
        <is>
          <t>Ваза стекло трубка Н50Д20К</t>
        </is>
      </c>
      <c r="D568" s="21" t="n">
        <v>1370</v>
      </c>
    </row>
    <row r="569">
      <c r="A569" s="19" t="inlineStr">
        <is>
          <t>вазы стекло</t>
        </is>
      </c>
      <c r="B569" s="20" t="inlineStr">
        <is>
          <t>00692</t>
        </is>
      </c>
      <c r="C569" s="19" t="inlineStr">
        <is>
          <t>Ваза стекло фино д7.5х30см</t>
        </is>
      </c>
      <c r="D569" s="21" t="n">
        <v>400</v>
      </c>
    </row>
  </sheetData>
  <autoFilter ref="A1:D5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60" customWidth="1" min="3" max="3"/>
  </cols>
  <sheetData>
    <row r="1">
      <c r="A1" s="25" t="inlineStr">
        <is>
          <t>FLOWIX — сводка по каталогу</t>
        </is>
      </c>
    </row>
    <row r="2" ht="46" customHeight="1">
      <c r="A2" s="1" t="inlineStr">
        <is>
          <t>Себестоимость = цветы по прайсу оптовой базы «Прайс_07_07» + упаковка. Упаковка: до 11 стеблей — 90 ₽, 12–25 — 140 ₽, 26–51 — 190 ₽, свыше 51 — 250 ₽ (тариф на листе «Прайс», ячейки G5:G8 — правится там, пересчёт по всему файлу автоматический). Доставка в себестоимость НЕ входит: оплачивается клиентом отдельно через Яндекс.Доставку и на маржу не влияет.</t>
        </is>
      </c>
    </row>
    <row r="4" ht="22" customHeight="1">
      <c r="A4" s="26" t="inlineStr">
        <is>
          <t>Всего позиций в каталоге</t>
        </is>
      </c>
      <c r="B4" s="27">
        <f>COUNTA(Каталог!A3:A62)</f>
        <v/>
      </c>
      <c r="C4" s="28" t="inlineStr">
        <is>
          <t>строки листа «Каталог»</t>
        </is>
      </c>
    </row>
    <row r="5" ht="22" customHeight="1">
      <c r="A5" s="26" t="inlineStr">
        <is>
          <t>— из них уже в боте</t>
        </is>
      </c>
      <c r="B5" s="27">
        <f>COUNTIF(Каталог!A3:A62,"PRD-*")</f>
        <v/>
      </c>
      <c r="C5" s="28" t="inlineStr">
        <is>
          <t>заведены через /add</t>
        </is>
      </c>
    </row>
    <row r="6" ht="22" customHeight="1">
      <c r="A6" s="26" t="inlineStr">
        <is>
          <t>— из них новых</t>
        </is>
      </c>
      <c r="B6" s="27">
        <f>COUNTIF(Каталог!A3:A62,"NEW-*")</f>
        <v/>
      </c>
      <c r="C6" s="28" t="inlineStr">
        <is>
          <t>список заказчика + блок «1 сентября»</t>
        </is>
      </c>
    </row>
    <row r="8" ht="22" customHeight="1">
      <c r="A8" s="26" t="inlineStr">
        <is>
          <t>Стандарт</t>
        </is>
      </c>
      <c r="B8" s="27">
        <f>COUNTIF(Каталог!C3:C62,"Стандарт")</f>
        <v/>
      </c>
      <c r="C8" s="23" t="n"/>
    </row>
    <row r="9" ht="22" customHeight="1">
      <c r="A9" s="26" t="inlineStr">
        <is>
          <t>Премиум</t>
        </is>
      </c>
      <c r="B9" s="27">
        <f>COUNTIF(Каталог!C3:C62,"Премиум")</f>
        <v/>
      </c>
      <c r="C9" s="23" t="n"/>
    </row>
    <row r="10" ht="22" customHeight="1">
      <c r="A10" s="26" t="inlineStr">
        <is>
          <t>Люкс</t>
        </is>
      </c>
      <c r="B10" s="27">
        <f>COUNTIF(Каталог!C3:C62,"Люкс")</f>
        <v/>
      </c>
      <c r="C10" s="23" t="n"/>
    </row>
    <row r="11" ht="22" customHeight="1">
      <c r="A11" s="26" t="inlineStr">
        <is>
          <t>ВАУ</t>
        </is>
      </c>
      <c r="B11" s="27">
        <f>COUNTIF(Каталог!C3:C62,"ВАУ")</f>
        <v/>
      </c>
      <c r="C11" s="23" t="n"/>
    </row>
    <row r="13" ht="22" customHeight="1">
      <c r="A13" s="26" t="inlineStr">
        <is>
          <t>Средняя цена</t>
        </is>
      </c>
      <c r="B13" s="29">
        <f>AVERAGE(Каталог!H3:H62)</f>
        <v/>
      </c>
      <c r="C13" s="28" t="inlineStr">
        <is>
          <t>₽</t>
        </is>
      </c>
    </row>
    <row r="14" ht="22" customHeight="1">
      <c r="A14" s="26" t="inlineStr">
        <is>
          <t>Минимальная цена</t>
        </is>
      </c>
      <c r="B14" s="29">
        <f>MIN(Каталог!H3:H62)</f>
        <v/>
      </c>
      <c r="C14" s="28" t="inlineStr">
        <is>
          <t>₽</t>
        </is>
      </c>
    </row>
    <row r="15" ht="22" customHeight="1">
      <c r="A15" s="26" t="inlineStr">
        <is>
          <t>Максимальная цена</t>
        </is>
      </c>
      <c r="B15" s="29">
        <f>MAX(Каталог!H3:H62)</f>
        <v/>
      </c>
      <c r="C15" s="28" t="inlineStr">
        <is>
          <t>₽</t>
        </is>
      </c>
    </row>
    <row r="16" ht="22" customHeight="1">
      <c r="A16" s="26" t="inlineStr">
        <is>
          <t>Средняя себестоимость</t>
        </is>
      </c>
      <c r="B16" s="29">
        <f>AVERAGE(Каталог!G3:G62)</f>
        <v/>
      </c>
      <c r="C16" s="28" t="inlineStr">
        <is>
          <t>цветы + упаковка</t>
        </is>
      </c>
    </row>
    <row r="17" ht="22" customHeight="1">
      <c r="A17" s="26" t="inlineStr">
        <is>
          <t>Расходы на упаковку, всего</t>
        </is>
      </c>
      <c r="B17" s="29">
        <f>SUM(Каталог!F3:F62)</f>
        <v/>
      </c>
      <c r="C17" s="28" t="inlineStr">
        <is>
          <t>если собрать по одному букету каждого вида</t>
        </is>
      </c>
    </row>
    <row r="18" ht="22" customHeight="1">
      <c r="A18" s="26" t="inlineStr">
        <is>
          <t>Средняя маржа %</t>
        </is>
      </c>
      <c r="B18" s="30">
        <f>AVERAGE(Каталог!J3:J62)</f>
        <v/>
      </c>
      <c r="C18" s="28" t="inlineStr">
        <is>
          <t>после включения упаковки</t>
        </is>
      </c>
    </row>
    <row r="19" ht="22" customHeight="1">
      <c r="A19" s="26" t="inlineStr">
        <is>
          <t>Минимальная маржа %</t>
        </is>
      </c>
      <c r="B19" s="30">
        <f>MIN(Каталог!J3:J62)</f>
        <v/>
      </c>
      <c r="C19" s="23" t="n"/>
    </row>
    <row r="20" ht="22" customHeight="1">
      <c r="A20" s="26" t="inlineStr">
        <is>
          <t>Максимальная маржа %</t>
        </is>
      </c>
      <c r="B20" s="30">
        <f>MAX(Каталог!J3:J62)</f>
        <v/>
      </c>
      <c r="C20" s="23" t="n"/>
    </row>
    <row r="22" ht="22" customHeight="1">
      <c r="A22" s="26" t="inlineStr">
        <is>
          <t>Позиций с фото</t>
        </is>
      </c>
      <c r="B22" s="27">
        <f>COUNTIF(Каталог!L3:L62,"да")</f>
        <v/>
      </c>
      <c r="C22" s="23" t="n"/>
    </row>
    <row r="23" ht="22" customHeight="1">
      <c r="A23" s="26" t="inlineStr">
        <is>
          <t>Позиций без фото</t>
        </is>
      </c>
      <c r="B23" s="27">
        <f>COUNTIF(Каталог!L3:L62,"нет")</f>
        <v/>
      </c>
      <c r="C23" s="28" t="inlineStr">
        <is>
          <t>списком — в «Проверке» и «Плане выкладки»</t>
        </is>
      </c>
    </row>
    <row r="24" ht="22" customHeight="1">
      <c r="A24" s="26" t="inlineStr">
        <is>
          <t>Позиций без себестоимости</t>
        </is>
      </c>
      <c r="B24" s="27">
        <f>COUNTIF(Каталог!G3:G62,"—")</f>
        <v/>
      </c>
      <c r="C24" s="28" t="inlineStr">
        <is>
          <t>весь состав нашёлся в прайсе</t>
        </is>
      </c>
    </row>
    <row r="25" ht="22" customHeight="1">
      <c r="A25" s="26" t="inlineStr">
        <is>
          <t>Позиций с маржой ниже 50%</t>
        </is>
      </c>
      <c r="B25" s="27">
        <f>COUNTIF(Каталог!J3:J62,"&lt;0.5")</f>
        <v/>
      </c>
      <c r="C25" s="28" t="inlineStr">
        <is>
          <t>после подъёма цен должно быть 0</t>
        </is>
      </c>
    </row>
    <row r="26" ht="22" customHeight="1">
      <c r="A26" s="26" t="inlineStr">
        <is>
          <t>Позиций с маржой выше 75%</t>
        </is>
      </c>
      <c r="B26" s="27">
        <f>COUNTIF(Каталог!J3:J62,"&gt;0.75")</f>
        <v/>
      </c>
      <c r="C26" s="23" t="n"/>
    </row>
    <row r="27" ht="22" customHeight="1">
      <c r="A27" s="26" t="inlineStr">
        <is>
          <t>Позиций дешевле себестоимости</t>
        </is>
      </c>
      <c r="B27" s="27">
        <f>SUMPRODUCT(--(Каталог!H3:H62&lt;Каталог!G3:G62))</f>
        <v/>
      </c>
      <c r="C27" s="23" t="n"/>
    </row>
    <row r="28" ht="22" customHeight="1">
      <c r="A28" s="26" t="inlineStr">
        <is>
          <t>Позиций с поднятой ценой</t>
        </is>
      </c>
      <c r="B28" s="27">
        <f>COUNTIF(Каталог!N3:N62,"*цена поднята*")</f>
        <v/>
      </c>
      <c r="C28" s="28" t="inlineStr">
        <is>
          <t>изменения помечены в примечании</t>
        </is>
      </c>
    </row>
    <row r="30" ht="22" customHeight="1">
      <c r="A30" s="26" t="inlineStr">
        <is>
          <t>Позиций в блоке «1 сентября»</t>
        </is>
      </c>
      <c r="B30" s="27">
        <f>COUNTA('1 сентября'!A3:A19)</f>
        <v/>
      </c>
      <c r="C30" s="23" t="n"/>
    </row>
    <row r="31" ht="22" customHeight="1">
      <c r="A31" s="26" t="inlineStr">
        <is>
          <t>— перенесено из каталога</t>
        </is>
      </c>
      <c r="B31" s="27">
        <f>COUNTIF('1 сентября'!J3:J19,"из каталога")</f>
        <v/>
      </c>
      <c r="C31" s="23" t="n"/>
    </row>
    <row r="32" ht="22" customHeight="1">
      <c r="A32" s="26" t="inlineStr">
        <is>
          <t>— новых</t>
        </is>
      </c>
      <c r="B32" s="27">
        <f>COUNTIF('1 сентября'!J3:J19,"новый")</f>
        <v/>
      </c>
      <c r="C32" s="23" t="n"/>
    </row>
    <row r="34" ht="22" customHeight="1">
      <c r="A34" s="26" t="inlineStr">
        <is>
          <t>Волна 1 — до 18 августа</t>
        </is>
      </c>
      <c r="B34" s="27">
        <f>COUNTIF('План выкладки'!A3:A62,1)</f>
        <v/>
      </c>
      <c r="C34" s="28" t="inlineStr">
        <is>
          <t>школа и старт осени</t>
        </is>
      </c>
    </row>
    <row r="35" ht="22" customHeight="1">
      <c r="A35" s="26" t="inlineStr">
        <is>
          <t>Волна 2 — 19–25 августа</t>
        </is>
      </c>
      <c r="B35" s="27">
        <f>COUNTIF('План выкладки'!A3:A62,2)</f>
        <v/>
      </c>
      <c r="C35" s="28" t="inlineStr">
        <is>
          <t>свадьбы и осенний люкс</t>
        </is>
      </c>
    </row>
    <row r="36" ht="22" customHeight="1">
      <c r="A36" s="26" t="inlineStr">
        <is>
          <t>Волна 3 — со 2 сентября</t>
        </is>
      </c>
      <c r="B36" s="27">
        <f>COUNTIF('План выкладки'!A3:A62,3)</f>
        <v/>
      </c>
      <c r="C36" s="28" t="inlineStr">
        <is>
          <t>круглогодичная база</t>
        </is>
      </c>
    </row>
    <row r="37" ht="22" customHeight="1">
      <c r="A37" s="26" t="inlineStr">
        <is>
          <t>Нужно отснять к волне 1</t>
        </is>
      </c>
      <c r="B37" s="27">
        <f>COUNTIFS('План выкладки'!A3:A62,1,'План выкладки'!H3:H62,"нет")</f>
        <v/>
      </c>
      <c r="C37" s="28" t="inlineStr">
        <is>
          <t>критический путь</t>
        </is>
      </c>
    </row>
  </sheetData>
  <mergeCells count="1"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6" customWidth="1" min="4" max="4"/>
    <col width="46" customWidth="1" min="5" max="5"/>
  </cols>
  <sheetData>
    <row r="1" ht="32" customHeight="1">
      <c r="A1" s="2" t="inlineStr">
        <is>
          <t>#</t>
        </is>
      </c>
      <c r="B1" s="2" t="inlineStr">
        <is>
          <t>Тип проверки</t>
        </is>
      </c>
      <c r="C1" s="2" t="inlineStr">
        <is>
          <t>Позиция</t>
        </is>
      </c>
      <c r="D1" s="2" t="inlineStr">
        <is>
          <t>Что не так</t>
        </is>
      </c>
      <c r="E1" s="2" t="inlineStr">
        <is>
          <t>Что делать</t>
        </is>
      </c>
    </row>
    <row r="2" ht="46" customHeight="1">
      <c r="A2" s="9" t="n">
        <v>1</v>
      </c>
      <c r="B2" s="31" t="inlineStr">
        <is>
          <t>Цена ниже себестоимости</t>
        </is>
      </c>
      <c r="C2" s="6" t="inlineStr">
        <is>
          <t>—</t>
        </is>
      </c>
      <c r="D2" s="6" t="inlineStr">
        <is>
          <t>таких позиций нет: проверены все 60 строк каталога</t>
        </is>
      </c>
      <c r="E2" s="6" t="inlineStr">
        <is>
          <t>—</t>
        </is>
      </c>
    </row>
    <row r="3" ht="46" customHeight="1">
      <c r="A3" s="9" t="n">
        <v>2</v>
      </c>
      <c r="B3" s="31" t="inlineStr">
        <is>
          <t>Маржа ниже 50%</t>
        </is>
      </c>
      <c r="C3" s="6" t="inlineStr">
        <is>
          <t>—</t>
        </is>
      </c>
      <c r="D3" s="6" t="inlineStr">
        <is>
          <t>после включения упаковки и подъёма цен таких позиций не осталось</t>
        </is>
      </c>
      <c r="E3" s="6" t="inlineStr">
        <is>
          <t>—</t>
        </is>
      </c>
    </row>
    <row r="4" ht="46" customHeight="1">
      <c r="A4" s="9" t="n">
        <v>3</v>
      </c>
      <c r="B4" s="6" t="inlineStr">
        <is>
          <t>Цена поднята при сборке</t>
        </is>
      </c>
      <c r="C4" s="6" t="inlineStr">
        <is>
          <t>Первоклассник</t>
        </is>
      </c>
      <c r="D4" s="6" t="inlineStr">
        <is>
          <t>при цене 1590 ₽ и себестоимости с упаковкой 795,8 ₽ маржа была 49,9% (&lt;50%)</t>
        </is>
      </c>
      <c r="E4" s="6" t="inlineStr">
        <is>
          <t>цена поднята до 1890 ₽ — маржа 57,9%</t>
        </is>
      </c>
    </row>
    <row r="5" ht="46" customHeight="1">
      <c r="A5" s="9" t="n">
        <v>4</v>
      </c>
      <c r="B5" s="6" t="inlineStr">
        <is>
          <t>Цена поднята при сборке</t>
        </is>
      </c>
      <c r="C5" s="6" t="inlineStr">
        <is>
          <t>Луч</t>
        </is>
      </c>
      <c r="D5" s="6" t="inlineStr">
        <is>
          <t>при цене 1490 ₽ и себестоимости с упаковкой 839,4 ₽ маржа была 43,7% (&lt;50%)</t>
        </is>
      </c>
      <c r="E5" s="6" t="inlineStr">
        <is>
          <t>цена поднята до 1990 ₽ — маржа 57,8%</t>
        </is>
      </c>
    </row>
    <row r="6" ht="46" customHeight="1">
      <c r="A6" s="9" t="n">
        <v>5</v>
      </c>
      <c r="B6" s="6" t="inlineStr">
        <is>
          <t>Цена поднята при сборке</t>
        </is>
      </c>
      <c r="C6" s="6" t="inlineStr">
        <is>
          <t>Лиса</t>
        </is>
      </c>
      <c r="D6" s="6" t="inlineStr">
        <is>
          <t>при цене 1490 ₽ и себестоимости с упаковкой 840,0 ₽ маржа была 43,6% (&lt;50%)</t>
        </is>
      </c>
      <c r="E6" s="6" t="inlineStr">
        <is>
          <t>цена поднята до 1990 ₽ — маржа 57,8%</t>
        </is>
      </c>
    </row>
    <row r="7" ht="46" customHeight="1">
      <c r="A7" s="9" t="n">
        <v>6</v>
      </c>
      <c r="B7" s="6" t="inlineStr">
        <is>
          <t>Цена поднята из-за упаковки</t>
        </is>
      </c>
      <c r="C7" s="6" t="inlineStr">
        <is>
          <t>Солнце</t>
        </is>
      </c>
      <c r="D7" s="6" t="inlineStr">
        <is>
          <t>при цене 2790 ₽ и себестоимости с упаковкой 1529,1 ₽ маржа была 45,2% (&lt;50%); позиция живая, в боте до сих пор стоит старая цена</t>
        </is>
      </c>
      <c r="E7" s="6" t="inlineStr">
        <is>
          <t>цена поднята до 3690 ₽ — маржа 58,6%; обновить через /edit</t>
        </is>
      </c>
    </row>
    <row r="8" ht="46" customHeight="1">
      <c r="A8" s="9" t="n">
        <v>7</v>
      </c>
      <c r="B8" s="6" t="inlineStr">
        <is>
          <t>Цена поднята из-за упаковки</t>
        </is>
      </c>
      <c r="C8" s="6" t="inlineStr">
        <is>
          <t>Густой август</t>
        </is>
      </c>
      <c r="D8" s="6" t="inlineStr">
        <is>
          <t>при цене 3690 ₽ и себестоимости с упаковкой 1869,0 ₽ маржа была 49,3% (&lt;50%); позиция живая, в боте до сих пор стоит старая цена</t>
        </is>
      </c>
      <c r="E8" s="6" t="inlineStr">
        <is>
          <t>цена поднята до 4490 ₽ — маржа 58,4%; обновить через /edit</t>
        </is>
      </c>
    </row>
    <row r="9" ht="46" customHeight="1">
      <c r="A9" s="9" t="n">
        <v>8</v>
      </c>
      <c r="B9" s="6" t="inlineStr">
        <is>
          <t>Цена поднята из-за упаковки</t>
        </is>
      </c>
      <c r="C9" s="6" t="inlineStr">
        <is>
          <t>Эустома</t>
        </is>
      </c>
      <c r="D9" s="6" t="inlineStr">
        <is>
          <t>при цене 3290 ₽ и себестоимости с упаковкой 1958,9 ₽ маржа была 40,5% (&lt;50%); позиция живая, в боте до сих пор стоит старая цена</t>
        </is>
      </c>
      <c r="E9" s="6" t="inlineStr">
        <is>
          <t>цена поднята до 4690 ₽ — маржа 58,2%; обновить через /edit</t>
        </is>
      </c>
    </row>
    <row r="10" ht="46" customHeight="1">
      <c r="A10" s="9" t="n">
        <v>9</v>
      </c>
      <c r="B10" s="6" t="inlineStr">
        <is>
          <t>Цена поднята при сборке</t>
        </is>
      </c>
      <c r="C10" s="6" t="inlineStr">
        <is>
          <t>Сидр</t>
        </is>
      </c>
      <c r="D10" s="6" t="inlineStr">
        <is>
          <t>при цене 3290 ₽ и себестоимости с упаковкой 1759,7 ₽ маржа была 46,5% (&lt;50%)</t>
        </is>
      </c>
      <c r="E10" s="6" t="inlineStr">
        <is>
          <t>цена поднята до 4190 ₽ — маржа 58,0%</t>
        </is>
      </c>
    </row>
    <row r="11" ht="46" customHeight="1">
      <c r="A11" s="9" t="n">
        <v>10</v>
      </c>
      <c r="B11" s="6" t="inlineStr">
        <is>
          <t>Цена поднята при сборке</t>
        </is>
      </c>
      <c r="C11" s="6" t="inlineStr">
        <is>
          <t>Янтарь</t>
        </is>
      </c>
      <c r="D11" s="6" t="inlineStr">
        <is>
          <t>при цене 3890 ₽ и себестоимости с упаковкой 2009,3 ₽ маржа была 48,3% (&lt;50%)</t>
        </is>
      </c>
      <c r="E11" s="6" t="inlineStr">
        <is>
          <t>цена поднята до 4790 ₽ — маржа 58,1%</t>
        </is>
      </c>
    </row>
    <row r="12" ht="46" customHeight="1">
      <c r="A12" s="9" t="n">
        <v>11</v>
      </c>
      <c r="B12" s="6" t="inlineStr">
        <is>
          <t>Цена поднята при сборке</t>
        </is>
      </c>
      <c r="C12" s="6" t="inlineStr">
        <is>
          <t>Сливочный Крем</t>
        </is>
      </c>
      <c r="D12" s="6" t="inlineStr">
        <is>
          <t>при цене 3290 ₽ и себестоимости с упаковкой 2054,2 ₽ маржа была 37,6% (&lt;50%)</t>
        </is>
      </c>
      <c r="E12" s="6" t="inlineStr">
        <is>
          <t>цена поднята до 4890 ₽ — маржа 58,0%</t>
        </is>
      </c>
    </row>
    <row r="13" ht="46" customHeight="1">
      <c r="A13" s="9" t="n">
        <v>12</v>
      </c>
      <c r="B13" s="6" t="inlineStr">
        <is>
          <t>Цена поднята при сборке</t>
        </is>
      </c>
      <c r="C13" s="6" t="inlineStr">
        <is>
          <t>Жемчуг</t>
        </is>
      </c>
      <c r="D13" s="6" t="inlineStr">
        <is>
          <t>при цене 3490 ₽ и себестоимости с упаковкой 2089,5 ₽ маржа была 40,1% (&lt;50%)</t>
        </is>
      </c>
      <c r="E13" s="6" t="inlineStr">
        <is>
          <t>цена поднята до 4990 ₽ — маржа 58,1%</t>
        </is>
      </c>
    </row>
    <row r="14" ht="46" customHeight="1">
      <c r="A14" s="9" t="n">
        <v>13</v>
      </c>
      <c r="B14" s="6" t="inlineStr">
        <is>
          <t>Цена поднята при сборке</t>
        </is>
      </c>
      <c r="C14" s="6" t="inlineStr">
        <is>
          <t>Малахит</t>
        </is>
      </c>
      <c r="D14" s="6" t="inlineStr">
        <is>
          <t>при цене 3990 ₽ и себестоимости с упаковкой 2218,8 ₽ маржа была 44,4% (&lt;50%)</t>
        </is>
      </c>
      <c r="E14" s="6" t="inlineStr">
        <is>
          <t>цена поднята до 5290 ₽ — маржа 58,1%</t>
        </is>
      </c>
    </row>
    <row r="15" ht="46" customHeight="1">
      <c r="A15" s="9" t="n">
        <v>14</v>
      </c>
      <c r="B15" s="6" t="inlineStr">
        <is>
          <t>Цена поднята из-за упаковки</t>
        </is>
      </c>
      <c r="C15" s="6" t="inlineStr">
        <is>
          <t>Белое облако</t>
        </is>
      </c>
      <c r="D15" s="6" t="inlineStr">
        <is>
          <t>при цене 5990 ₽ и себестоимости с упаковкой 4070,0 ₽ маржа была 32,1% (&lt;50%); позиция живая, в боте до сих пор стоит старая цена</t>
        </is>
      </c>
      <c r="E15" s="6" t="inlineStr">
        <is>
          <t>цена поднята до 9590 ₽ — маржа 57,6%; обновить через /edit</t>
        </is>
      </c>
    </row>
    <row r="16" ht="46" customHeight="1">
      <c r="A16" s="9" t="n">
        <v>15</v>
      </c>
      <c r="B16" s="6" t="inlineStr">
        <is>
          <t>Цена поднята при сборке</t>
        </is>
      </c>
      <c r="C16" s="6" t="inlineStr">
        <is>
          <t>Рябина</t>
        </is>
      </c>
      <c r="D16" s="6" t="inlineStr">
        <is>
          <t>при цене 5990 ₽ и себестоимости с упаковкой 3289,0 ₽ маржа была 45,1% (&lt;50%)</t>
        </is>
      </c>
      <c r="E16" s="6" t="inlineStr">
        <is>
          <t>цена поднята до 7790 ₽ — маржа 57,8%</t>
        </is>
      </c>
    </row>
    <row r="17" ht="46" customHeight="1">
      <c r="A17" s="9" t="n">
        <v>16</v>
      </c>
      <c r="B17" s="6" t="inlineStr">
        <is>
          <t>Цена поднята при сборке</t>
        </is>
      </c>
      <c r="C17" s="6" t="inlineStr">
        <is>
          <t>Оникс</t>
        </is>
      </c>
      <c r="D17" s="6" t="inlineStr">
        <is>
          <t>при цене 6490 ₽ и себестоимости с упаковкой 3689,1 ₽ маржа была 43,2% (&lt;50%)</t>
        </is>
      </c>
      <c r="E17" s="6" t="inlineStr">
        <is>
          <t>цена поднята до 8690 ₽ — маржа 57,5%</t>
        </is>
      </c>
    </row>
    <row r="18" ht="46" customHeight="1">
      <c r="A18" s="9" t="n">
        <v>17</v>
      </c>
      <c r="B18" s="6" t="inlineStr">
        <is>
          <t>Цена поднята при сборке</t>
        </is>
      </c>
      <c r="C18" s="6" t="inlineStr">
        <is>
          <t>Богема</t>
        </is>
      </c>
      <c r="D18" s="6" t="inlineStr">
        <is>
          <t>при цене 10990 ₽ и себестоимости с упаковкой 6138,5 ₽ маржа была 44,1% (&lt;50%)</t>
        </is>
      </c>
      <c r="E18" s="6" t="inlineStr">
        <is>
          <t>цена поднята до 14490 ₽ — маржа 57,6%</t>
        </is>
      </c>
    </row>
    <row r="19" ht="46" customHeight="1">
      <c r="A19" s="9" t="n">
        <v>18</v>
      </c>
      <c r="B19" s="6" t="inlineStr">
        <is>
          <t>Упаковка: тариф не бьётся с составом</t>
        </is>
      </c>
      <c r="C19" s="6" t="inlineStr">
        <is>
          <t>Белое облако</t>
        </is>
      </c>
      <c r="D19" s="6" t="inlineStr">
        <is>
          <t>букет считается как 2 стебля (2 банча гипсофилы) и попадает в самый дешёвый тариф 90 ₽, хотя физически это большой букет</t>
        </is>
      </c>
      <c r="E19" s="6" t="inlineStr">
        <is>
          <t>если по факту упаковка ближе к 190–250 ₽, поправить тариф вручную — себестоимость вырастет на 100–160 ₽ и потребует ещё +200–400 ₽ к цене</t>
        </is>
      </c>
    </row>
    <row r="20" ht="46" customHeight="1">
      <c r="A20" s="9" t="n">
        <v>19</v>
      </c>
      <c r="B20" s="6" t="inlineStr">
        <is>
          <t>Дубли названий</t>
        </is>
      </c>
      <c r="C20" s="6" t="inlineStr">
        <is>
          <t>—</t>
        </is>
      </c>
      <c r="D20" s="6" t="inlineStr">
        <is>
          <t>полных дублей нет: 60 уникальных на 60 строк</t>
        </is>
      </c>
      <c r="E20" s="6" t="inlineStr">
        <is>
          <t>—</t>
        </is>
      </c>
    </row>
    <row r="21" ht="46" customHeight="1">
      <c r="A21" s="9" t="n">
        <v>20</v>
      </c>
      <c r="B21" s="6" t="inlineStr">
        <is>
          <t>Похожие названия</t>
        </is>
      </c>
      <c r="C21" s="6" t="inlineStr">
        <is>
          <t>Эустома / Эустома Мусс</t>
        </is>
      </c>
      <c r="D21" s="6" t="inlineStr">
        <is>
          <t>название «Эустома» целиком входит в «Эустома Мусс» — в поиске и в списке заказа их легко перепутать</t>
        </is>
      </c>
      <c r="E21" s="6" t="inlineStr">
        <is>
          <t>переименовать одну из позиций либо развести описаниями</t>
        </is>
      </c>
    </row>
    <row r="22" ht="46" customHeight="1">
      <c r="A22" s="9" t="n">
        <v>21</v>
      </c>
      <c r="B22" s="6" t="inlineStr">
        <is>
          <t>Похожий состав</t>
        </is>
      </c>
      <c r="C22" s="6" t="inlineStr">
        <is>
          <t>Астра, Махагон</t>
        </is>
      </c>
      <c r="D22" s="6" t="inlineStr">
        <is>
          <t>одинаковый набор видов, различается только количество: Астра — гвоздика микс × 25 | Махагон — гвоздика микс × 101</t>
        </is>
      </c>
      <c r="E22" s="6" t="inlineStr">
        <is>
          <t>норма для линейки размеров — убедиться, что позиции различимы для покупателя</t>
        </is>
      </c>
    </row>
    <row r="23" ht="46" customHeight="1">
      <c r="A23" s="9" t="n">
        <v>22</v>
      </c>
      <c r="B23" s="6" t="inlineStr">
        <is>
          <t>Похожий состав</t>
        </is>
      </c>
      <c r="C23" s="6" t="inlineStr">
        <is>
          <t>Орех, Сироп</t>
        </is>
      </c>
      <c r="D23" s="6" t="inlineStr">
        <is>
          <t>одинаковый набор видов, различается только количество: Орех — гвоздика пудровая × 9 | Сироп — гвоздика пудровая × 51</t>
        </is>
      </c>
      <c r="E23" s="6" t="inlineStr">
        <is>
          <t>норма для линейки размеров — убедиться, что позиции различимы для покупателя</t>
        </is>
      </c>
    </row>
    <row r="24" ht="46" customHeight="1">
      <c r="A24" s="9" t="n">
        <v>23</v>
      </c>
      <c r="B24" s="6" t="inlineStr">
        <is>
          <t>Похожий состав</t>
        </is>
      </c>
      <c r="C24" s="6" t="inlineStr">
        <is>
          <t>Штрих, Звонок</t>
        </is>
      </c>
      <c r="D24" s="6" t="inlineStr">
        <is>
          <t>одинаковый набор видов, различается только количество: Штрих — гладиолус × 5 | Звонок — гладиолус × 11</t>
        </is>
      </c>
      <c r="E24" s="6" t="inlineStr">
        <is>
          <t>норма для линейки размеров — убедиться, что позиции различимы для покупателя</t>
        </is>
      </c>
    </row>
    <row r="25" ht="46" customHeight="1">
      <c r="A25" s="9" t="n">
        <v>24</v>
      </c>
      <c r="B25" s="6" t="inlineStr">
        <is>
          <t>Похожий состав</t>
        </is>
      </c>
      <c r="C25" s="6" t="inlineStr">
        <is>
          <t>Фарфор, Снежный Мел</t>
        </is>
      </c>
      <c r="D25" s="6" t="inlineStr">
        <is>
          <t>одинаковый набор видов, различается только количество: Фарфор — роза Горкунов белая 50 см × 9 | Снежный Мел — роза Горкунов белая 50 см × 25</t>
        </is>
      </c>
      <c r="E25" s="6" t="inlineStr">
        <is>
          <t>норма для линейки размеров — убедиться, что позиции различимы для покупателя</t>
        </is>
      </c>
    </row>
    <row r="26" ht="46" customHeight="1">
      <c r="A26" s="9" t="n">
        <v>25</v>
      </c>
      <c r="B26" s="6" t="inlineStr">
        <is>
          <t>Похожий состав</t>
        </is>
      </c>
      <c r="C26" s="6" t="inlineStr">
        <is>
          <t>Жемчуг, Оникс, Богема</t>
        </is>
      </c>
      <c r="D26" s="6" t="inlineStr">
        <is>
          <t>одинаковый набор видов, различается только количество: Жемчуг — лилия пионовидная × 5 | Оникс — лилия пионовидная × 9 | Богема — лилия пионовидная × 15</t>
        </is>
      </c>
      <c r="E26" s="6" t="inlineStr">
        <is>
          <t>норма для линейки размеров — убедиться, что позиции различимы для покупателя</t>
        </is>
      </c>
    </row>
    <row r="27" ht="46" customHeight="1">
      <c r="A27" s="9" t="n">
        <v>26</v>
      </c>
      <c r="B27" s="6" t="inlineStr">
        <is>
          <t>Похожий состав</t>
        </is>
      </c>
      <c r="C27" s="6" t="inlineStr">
        <is>
          <t>Солнце, Клён, Очаг 51</t>
        </is>
      </c>
      <c r="D27" s="6" t="inlineStr">
        <is>
          <t>одинаковый набор видов, различается только количество: Солнце — подсолнух × 9 | Клён — подсолнух × 19 | Очаг 51 — подсолнух × 51</t>
        </is>
      </c>
      <c r="E27" s="6" t="inlineStr">
        <is>
          <t>норма для линейки размеров — убедиться, что позиции различимы для покупателя</t>
        </is>
      </c>
    </row>
    <row r="28" ht="46" customHeight="1">
      <c r="A28" s="9" t="n">
        <v>27</v>
      </c>
      <c r="B28" s="6" t="inlineStr">
        <is>
          <t>Похожий состав</t>
        </is>
      </c>
      <c r="C28" s="6" t="inlineStr">
        <is>
          <t>Рубиновый Закат, Пламя 101</t>
        </is>
      </c>
      <c r="D28" s="6" t="inlineStr">
        <is>
          <t>одинаковый набор видов, различается только количество: Рубиновый Закат — роза Кения красная 40 см × 21 | Пламя 101 — роза Кения красная 40 см × 101</t>
        </is>
      </c>
      <c r="E28" s="6" t="inlineStr">
        <is>
          <t>норма для линейки размеров — убедиться, что позиции различимы для покупателя</t>
        </is>
      </c>
    </row>
    <row r="29" ht="46" customHeight="1">
      <c r="A29" s="9" t="n">
        <v>28</v>
      </c>
      <c r="B29" s="6" t="inlineStr">
        <is>
          <t>Похожий состав</t>
        </is>
      </c>
      <c r="C29" s="6" t="inlineStr">
        <is>
          <t>Эустома Мусс, Кашемир</t>
        </is>
      </c>
      <c r="D29" s="6" t="inlineStr">
        <is>
          <t>одинаковый набор видов, различается только количество: Эустома Мусс — эустома × 7 | Кашемир — эустома × 21</t>
        </is>
      </c>
      <c r="E29" s="6" t="inlineStr">
        <is>
          <t>норма для линейки размеров — убедиться, что позиции различимы для покупателя</t>
        </is>
      </c>
    </row>
    <row r="30" ht="46" customHeight="1">
      <c r="A30" s="9" t="n">
        <v>29</v>
      </c>
      <c r="B30" s="6" t="inlineStr">
        <is>
          <t>Нет точной позиции в прайсе</t>
        </is>
      </c>
      <c r="C30" s="6" t="inlineStr">
        <is>
          <t>гвоздика кофейных оттенков</t>
        </is>
      </c>
      <c r="D30" s="6" t="inlineStr">
        <is>
          <t>оттенок «кофейный» в прайсе не выделен — счёт по «гвоздика Эквадор» (00026). Затронуто позиций: 1 (Мокко)</t>
        </is>
      </c>
      <c r="E30" s="6" t="inlineStr">
        <is>
          <t>подтвердить сопоставление у закупки или завести позицию в прайс</t>
        </is>
      </c>
    </row>
    <row r="31" ht="46" customHeight="1">
      <c r="A31" s="9" t="n">
        <v>30</v>
      </c>
      <c r="B31" s="6" t="inlineStr">
        <is>
          <t>Нет точной позиции в прайсе</t>
        </is>
      </c>
      <c r="C31" s="6" t="inlineStr">
        <is>
          <t>гвоздика кустовая</t>
        </is>
      </c>
      <c r="D31" s="6" t="inlineStr">
        <is>
          <t>в прайсе также «гвоздика китай кустовая» 39,90 ₽ (01220) — счёт по «Гвоздика Эквадор Кустовая» (00774). Затронуто позиций: 1 (Шар)</t>
        </is>
      </c>
      <c r="E31" s="6" t="inlineStr">
        <is>
          <t>подтвердить сопоставление у закупки или завести позицию в прайс</t>
        </is>
      </c>
    </row>
    <row r="32" ht="46" customHeight="1">
      <c r="A32" s="9" t="n">
        <v>31</v>
      </c>
      <c r="B32" s="6" t="inlineStr">
        <is>
          <t>Нет точной позиции в прайсе</t>
        </is>
      </c>
      <c r="C32" s="6" t="inlineStr">
        <is>
          <t>гвоздика микс</t>
        </is>
      </c>
      <c r="D32" s="6" t="inlineStr">
        <is>
          <t>микс в прайсе не выделен — счёт по «гвоздика Эквадор» (00026). Затронуто позиций: 3 (Астра, Линейка, Махагон)</t>
        </is>
      </c>
      <c r="E32" s="6" t="inlineStr">
        <is>
          <t>подтвердить сопоставление у закупки или завести позицию в прайс</t>
        </is>
      </c>
    </row>
    <row r="33" ht="46" customHeight="1">
      <c r="A33" s="9" t="n">
        <v>32</v>
      </c>
      <c r="B33" s="6" t="inlineStr">
        <is>
          <t>Нет точной позиции в прайсе</t>
        </is>
      </c>
      <c r="C33" s="6" t="inlineStr">
        <is>
          <t>гвоздика пудровая</t>
        </is>
      </c>
      <c r="D33" s="6" t="inlineStr">
        <is>
          <t>оттенок «пудровая» в прайсе не выделен — счёт по «гвоздика Эквадор» (00026). Затронуто позиций: 2 (Орех, Сироп)</t>
        </is>
      </c>
      <c r="E33" s="6" t="inlineStr">
        <is>
          <t>подтвердить сопоставление у закупки или завести позицию в прайс</t>
        </is>
      </c>
    </row>
    <row r="34" ht="46" customHeight="1">
      <c r="A34" s="9" t="n">
        <v>33</v>
      </c>
      <c r="B34" s="6" t="inlineStr">
        <is>
          <t>Нет точной позиции в прайсе</t>
        </is>
      </c>
      <c r="C34" s="6" t="inlineStr">
        <is>
          <t>георгин</t>
        </is>
      </c>
      <c r="D34" s="6" t="inlineStr">
        <is>
          <t>в прайсе также «Георгин Китай» 99,90 ₽ (01296) — счёт по основной позиции «Георгина» (01018). Затронуто позиций: 4 (Лиса, Рябина, Сидр, Янтарь)</t>
        </is>
      </c>
      <c r="E34" s="6" t="inlineStr">
        <is>
          <t>подтвердить сопоставление у закупки или завести позицию в прайс</t>
        </is>
      </c>
    </row>
    <row r="35" ht="46" customHeight="1">
      <c r="A35" s="9" t="n">
        <v>34</v>
      </c>
      <c r="B35" s="6" t="inlineStr">
        <is>
          <t>Нет точной позиции в прайсе</t>
        </is>
      </c>
      <c r="C35" s="6" t="inlineStr">
        <is>
          <t>гербера микс</t>
        </is>
      </c>
      <c r="D35" s="6" t="inlineStr">
        <is>
          <t>микс в прайсе не выделен — счёт по «гербера армения» (00448). Затронуто позиций: 1 (Инжир)</t>
        </is>
      </c>
      <c r="E35" s="6" t="inlineStr">
        <is>
          <t>подтвердить сопоставление у закупки или завести позицию в прайс</t>
        </is>
      </c>
    </row>
    <row r="36" ht="46" customHeight="1">
      <c r="A36" s="9" t="n">
        <v>35</v>
      </c>
      <c r="B36" s="6" t="inlineStr">
        <is>
          <t>Нет точной позиции в прайсе</t>
        </is>
      </c>
      <c r="C36" s="6" t="inlineStr">
        <is>
          <t>гипсофила белая, банч</t>
        </is>
      </c>
      <c r="D36" s="6" t="inlineStr">
        <is>
          <t>в прайсе три банча гипсофилы: белая 1 990 ₽ (00028), крашеная 2 190 ₽ (00365), Китай 1 390 ₽ (01215) — счёт по белой. Затронуто позиций: 1 (Белое облако)</t>
        </is>
      </c>
      <c r="E36" s="6" t="inlineStr">
        <is>
          <t>подтвердить сопоставление у закупки или завести позицию в прайс</t>
        </is>
      </c>
    </row>
    <row r="37" ht="46" customHeight="1">
      <c r="A37" s="9" t="n">
        <v>36</v>
      </c>
      <c r="B37" s="6" t="inlineStr">
        <is>
          <t>Нет точной позиции в прайсе</t>
        </is>
      </c>
      <c r="C37" s="6" t="inlineStr">
        <is>
          <t>роза Горкунов белая 50 см</t>
        </is>
      </c>
      <c r="D37" s="6" t="inlineStr">
        <is>
          <t>цвет в прайсе не выделен — счёт по «Роза ГОРКУНОВ 50 см одног» (01065). Затронуто позиций: 2 (Снежный Мел, Фарфор)</t>
        </is>
      </c>
      <c r="E37" s="6" t="inlineStr">
        <is>
          <t>подтвердить сопоставление у закупки или завести позицию в прайс</t>
        </is>
      </c>
    </row>
    <row r="38" ht="46" customHeight="1">
      <c r="A38" s="9" t="n">
        <v>37</v>
      </c>
      <c r="B38" s="6" t="inlineStr">
        <is>
          <t>Нет точной позиции в прайсе</t>
        </is>
      </c>
      <c r="C38" s="6" t="inlineStr">
        <is>
          <t>роза Горкунов красная 50 см</t>
        </is>
      </c>
      <c r="D38" s="6" t="inlineStr">
        <is>
          <t>цвет в прайсе не выделен — счёт по «Роза ГОРКУНОВ 50 см одног» (01065). Затронуто позиций: 2 (Корона 101, Специя)</t>
        </is>
      </c>
      <c r="E38" s="6" t="inlineStr">
        <is>
          <t>подтвердить сопоставление у закупки или завести позицию в прайс</t>
        </is>
      </c>
    </row>
    <row r="39" ht="46" customHeight="1">
      <c r="A39" s="9" t="n">
        <v>38</v>
      </c>
      <c r="B39" s="6" t="inlineStr">
        <is>
          <t>Нет точной позиции в прайсе</t>
        </is>
      </c>
      <c r="C39" s="6" t="inlineStr">
        <is>
          <t>роза Горкунов персиковая 50 см</t>
        </is>
      </c>
      <c r="D39" s="6" t="inlineStr">
        <is>
          <t>цвет в прайсе не выделен — счёт по «Роза ГОРКУНОВ 50 см одног» (01065). Затронуто позиций: 1 (Сливочный Крем)</t>
        </is>
      </c>
      <c r="E39" s="6" t="inlineStr">
        <is>
          <t>подтвердить сопоставление у закупки или завести позицию в прайс</t>
        </is>
      </c>
    </row>
    <row r="40" ht="46" customHeight="1">
      <c r="A40" s="9" t="n">
        <v>39</v>
      </c>
      <c r="B40" s="6" t="inlineStr">
        <is>
          <t>Нет точной позиции в прайсе</t>
        </is>
      </c>
      <c r="C40" s="6" t="inlineStr">
        <is>
          <t>лилия пионовидная</t>
        </is>
      </c>
      <c r="D40" s="6" t="inlineStr">
        <is>
          <t>в прайсе также «ЛИЛИЯ пионовидная КИТАЙ» 299 ₽ (01209) — счёт по основной позиции (00968). Затронуто позиций: 3 (Богема, Жемчуг, Оникс)</t>
        </is>
      </c>
      <c r="E40" s="6" t="inlineStr">
        <is>
          <t>подтвердить сопоставление у закупки или завести позицию в прайс</t>
        </is>
      </c>
    </row>
    <row r="41" ht="46" customHeight="1">
      <c r="A41" s="9" t="n">
        <v>40</v>
      </c>
      <c r="B41" s="6" t="inlineStr">
        <is>
          <t>Нет точной позиции в прайсе</t>
        </is>
      </c>
      <c r="C41" s="6" t="inlineStr">
        <is>
          <t>роза Эквадор Мондиаль 50 см</t>
        </is>
      </c>
      <c r="D41" s="6" t="inlineStr">
        <is>
          <t>длина в списке не указана — счёт по 50 см (00777). Затронуто позиций: 1 (Эквадор Полюс)</t>
        </is>
      </c>
      <c r="E41" s="6" t="inlineStr">
        <is>
          <t>подтвердить сопоставление у закупки или завести позицию в прайс</t>
        </is>
      </c>
    </row>
    <row r="42" ht="46" customHeight="1">
      <c r="A42" s="9" t="n">
        <v>41</v>
      </c>
      <c r="B42" s="6" t="inlineStr">
        <is>
          <t>Нет точной позиции в прайсе</t>
        </is>
      </c>
      <c r="C42" s="6" t="inlineStr">
        <is>
          <t>роза Ред Наоми 60 см</t>
        </is>
      </c>
      <c r="D42" s="6" t="inlineStr">
        <is>
          <t>в прайсе две позиции «Ред Наоми 60 см»: Горкунов 87,90 ₽ (01461) и Флорентика 81,00 ₽ (01412) — счёт по Горкунову. Затронуто позиций: 1 (Тотал ред)</t>
        </is>
      </c>
      <c r="E42" s="6" t="inlineStr">
        <is>
          <t>подтвердить сопоставление у закупки или завести позицию в прайс</t>
        </is>
      </c>
    </row>
    <row r="43" ht="46" customHeight="1">
      <c r="A43" s="9" t="n">
        <v>42</v>
      </c>
      <c r="B43" s="6" t="inlineStr">
        <is>
          <t>Нет точной позиции в прайсе</t>
        </is>
      </c>
      <c r="C43" s="6" t="inlineStr">
        <is>
          <t>роза кустовая</t>
        </is>
      </c>
      <c r="D43" s="6" t="inlineStr">
        <is>
          <t>в списке без уточнения — счёт по «Роза ГОРКУНОВ 50 см КУСТ» (01067). Затронуто позиций: 1 (Сливочный Крем)</t>
        </is>
      </c>
      <c r="E43" s="6" t="inlineStr">
        <is>
          <t>подтвердить сопоставление у закупки или завести позицию в прайс</t>
        </is>
      </c>
    </row>
    <row r="44" ht="46" customHeight="1">
      <c r="A44" s="9" t="n">
        <v>43</v>
      </c>
      <c r="B44" s="6" t="inlineStr">
        <is>
          <t>Нет точной позиции в прайсе</t>
        </is>
      </c>
      <c r="C44" s="6" t="inlineStr">
        <is>
          <t>роза Эквадор пионовидная 60 см</t>
        </is>
      </c>
      <c r="D44" s="6" t="inlineStr">
        <is>
          <t>в прайсе позиция называется «Роза Эквадор Пионовидная + Сорт 60 см» (00673) — отдельной «чисто пионовидной» нет. Затронуто позиций: 1 (Пионовидный сад)</t>
        </is>
      </c>
      <c r="E44" s="6" t="inlineStr">
        <is>
          <t>подтвердить сопоставление у закупки или завести позицию в прайс</t>
        </is>
      </c>
    </row>
    <row r="45" ht="46" customHeight="1">
      <c r="A45" s="9" t="n">
        <v>44</v>
      </c>
      <c r="B45" s="6" t="inlineStr">
        <is>
          <t>Нет точной позиции в прайсе</t>
        </is>
      </c>
      <c r="C45" s="6" t="inlineStr">
        <is>
          <t>хризантема кустовая осенняя</t>
        </is>
      </c>
      <c r="D45" s="6" t="inlineStr">
        <is>
          <t>сезонный оттенок в прайсе не выделен — счёт по «Хризантема кустовая Голландия цветная» (00045). Затронуто позиций: 1 (Бронза)</t>
        </is>
      </c>
      <c r="E45" s="6" t="inlineStr">
        <is>
          <t>подтвердить сопоставление у закупки или завести позицию в прайс</t>
        </is>
      </c>
    </row>
    <row r="46" ht="46" customHeight="1">
      <c r="A46" s="9" t="n">
        <v>45</v>
      </c>
      <c r="B46" s="6" t="inlineStr">
        <is>
          <t>Нет точной позиции в прайсе</t>
        </is>
      </c>
      <c r="C46" s="6" t="inlineStr">
        <is>
          <t>хризантема одноголовая</t>
        </is>
      </c>
      <c r="D46" s="6" t="inlineStr">
        <is>
          <t>в списке указано просто «хризантема» — принята одноголовая (00046). Затронуто позиций: 1 (Малахит)</t>
        </is>
      </c>
      <c r="E46" s="6" t="inlineStr">
        <is>
          <t>подтвердить сопоставление у закупки или завести позицию в прайс</t>
        </is>
      </c>
    </row>
    <row r="47" ht="46" customHeight="1">
      <c r="A47" s="9" t="n">
        <v>46</v>
      </c>
      <c r="B47" s="6" t="inlineStr">
        <is>
          <t>Нет точной позиции в прайсе</t>
        </is>
      </c>
      <c r="C47" s="6" t="inlineStr">
        <is>
          <t>эвкалипт</t>
        </is>
      </c>
      <c r="D47" s="6" t="inlineStr">
        <is>
          <t>в прайсе «эвкалипт» 390 ₽ (00350) без указания фасовки (шт/пучок) — счёт как за штуку. Затронуто позиций: 4 (Густой август, Малахит, Облако августа, Сливочный Крем)</t>
        </is>
      </c>
      <c r="E47" s="6" t="inlineStr">
        <is>
          <t>подтвердить сопоставление у закупки или завести позицию в прайс</t>
        </is>
      </c>
    </row>
    <row r="48" ht="46" customHeight="1">
      <c r="A48" s="9" t="n">
        <v>47</v>
      </c>
      <c r="B48" s="6" t="inlineStr">
        <is>
          <t>Фасовка в прайсе не указана</t>
        </is>
      </c>
      <c r="C48" s="6" t="inlineStr">
        <is>
          <t>эвкалипт</t>
        </is>
      </c>
      <c r="D48" s="6" t="inlineStr">
        <is>
          <t>в прайсе «эвкалипт» 390 ₽ (00350) и «эвкалипт А банч» 1 690 ₽ (01084) — непонятно, 390 ₽ это ветка или пучок. Считается как за ветку</t>
        </is>
      </c>
      <c r="E48" s="6" t="inlineStr">
        <is>
          <t>уточнить у базы; если 390 ₽ — пучок, себестоимость Малахита, Сливочного Крема, Густого августа и Облака августа упадёт</t>
        </is>
      </c>
    </row>
    <row r="49" ht="46" customHeight="1">
      <c r="A49" s="9" t="n">
        <v>48</v>
      </c>
      <c r="B49" s="6" t="inlineStr">
        <is>
          <t>Дешевле без роста цены</t>
        </is>
      </c>
      <c r="C49" s="6" t="inlineStr">
        <is>
          <t>Солнце, Белое облако</t>
        </is>
      </c>
      <c r="D49" s="6" t="inlineStr">
        <is>
          <t>у обоих в прайсе есть более дешёвый аналог того же цветка: подсолнух Китай 139,90 ₽ (01210) вместо 159,90 ₽ (00325) и гипсофила Китай банч 1 390 ₽ (01215) вместо белой 1 990 ₽ (00028)</t>
        </is>
      </c>
      <c r="E49" s="6" t="inlineStr">
        <is>
          <t>если качество устраивает — переход на них поднимает маржу без повышения цены; сейчас в файле цена поднята по правилу «маржа не ниже 50%»</t>
        </is>
      </c>
    </row>
    <row r="50" ht="46" customHeight="1">
      <c r="A50" s="9" t="n">
        <v>49</v>
      </c>
      <c r="B50" s="6" t="inlineStr">
        <is>
          <t>Уточнить состав</t>
        </is>
      </c>
      <c r="C50" s="6" t="inlineStr">
        <is>
          <t>Специя</t>
        </is>
      </c>
      <c r="D50" s="6" t="inlineStr">
        <is>
          <t>в списке «роза Горкунов красная 9» без длины ноги; у соседних позиций указано 50 см</t>
        </is>
      </c>
      <c r="E50" s="6" t="inlineStr">
        <is>
          <t>себестоимость посчитана по 50 см (01065, 68,90 ₽); при 40 см (01064, 32,90 ₽) она вдвое ниже</t>
        </is>
      </c>
    </row>
    <row r="51" ht="46" customHeight="1">
      <c r="A51" s="9" t="n">
        <v>50</v>
      </c>
      <c r="B51" s="6" t="inlineStr">
        <is>
          <t>Уточнить состав</t>
        </is>
      </c>
      <c r="C51" s="6" t="inlineStr">
        <is>
          <t>Эквадор Полюс</t>
        </is>
      </c>
      <c r="D51" s="6" t="inlineStr">
        <is>
          <t>в списке «роза Эквадор Мондиаль 51» без длины ноги</t>
        </is>
      </c>
      <c r="E51" s="6" t="inlineStr">
        <is>
          <t>посчитано по 50 см (00777, 73,90 ₽)</t>
        </is>
      </c>
    </row>
    <row r="52" ht="46" customHeight="1">
      <c r="A52" s="9" t="n">
        <v>51</v>
      </c>
      <c r="B52" s="6" t="inlineStr">
        <is>
          <t>Уточнить состав</t>
        </is>
      </c>
      <c r="C52" s="6" t="inlineStr">
        <is>
          <t>Сливочный Крем</t>
        </is>
      </c>
      <c r="D52" s="6" t="inlineStr">
        <is>
          <t>«роза кустовая 3» без страны и длины — в прайсе десятки кустовых от 45,90 до 249,90 ₽</t>
        </is>
      </c>
      <c r="E52" s="6" t="inlineStr">
        <is>
          <t>посчитано по «Роза ГОРКУНОВ 50 см КУСТ» (01067, 149,90 ₽)</t>
        </is>
      </c>
    </row>
    <row r="53" ht="46" customHeight="1">
      <c r="A53" s="9" t="n">
        <v>52</v>
      </c>
      <c r="B53" s="6" t="inlineStr">
        <is>
          <t>Уточнить состав</t>
        </is>
      </c>
      <c r="C53" s="6" t="inlineStr">
        <is>
          <t>Тотал ред</t>
        </is>
      </c>
      <c r="D53" s="6" t="inlineStr">
        <is>
          <t>в прайсе две розы «Ред Наоми 60 см»: Горкунов 87,90 ₽ (01461) и Флорентика 81,00 ₽ (01412)</t>
        </is>
      </c>
      <c r="E53" s="6" t="inlineStr">
        <is>
          <t>посчитано по Горкунову; разница в марже около 3 п.п.</t>
        </is>
      </c>
    </row>
    <row r="54" ht="46" customHeight="1">
      <c r="A54" s="9" t="n">
        <v>53</v>
      </c>
      <c r="B54" s="6" t="inlineStr">
        <is>
          <t>Уточнить состав</t>
        </is>
      </c>
      <c r="C54" s="6" t="inlineStr">
        <is>
          <t>Пионовидный сад</t>
        </is>
      </c>
      <c r="D54" s="6" t="inlineStr">
        <is>
          <t>позиции «роза Эквадор пионовидная 60 см» в чистом виде в прайсе нет</t>
        </is>
      </c>
      <c r="E54" s="6" t="inlineStr">
        <is>
          <t>посчитано по «Роза Эквадор Пионовидная + Сорт 60 см» (00673, 95,90 ₽)</t>
        </is>
      </c>
    </row>
    <row r="55" ht="46" customHeight="1">
      <c r="A55" s="9" t="n">
        <v>54</v>
      </c>
      <c r="B55" s="31" t="inlineStr">
        <is>
          <t>Нет фото — волна 1</t>
        </is>
      </c>
      <c r="C55" s="6" t="inlineStr">
        <is>
          <t>11 позиций</t>
        </is>
      </c>
      <c r="D55" s="6" t="inlineStr">
        <is>
          <t>Штрих, Азбука, Пенал, Линейка, Перемена, Ранец, Глобус, Мелок, Циркуль, Сентябрь, Янтарь</t>
        </is>
      </c>
      <c r="E55" s="6" t="inlineStr">
        <is>
          <t>критический путь: снять до 18 августа, иначе школьный блок неполный</t>
        </is>
      </c>
    </row>
    <row r="56" ht="46" customHeight="1">
      <c r="A56" s="9" t="n">
        <v>55</v>
      </c>
      <c r="B56" s="6" t="inlineStr">
        <is>
          <t>Нет фото — волна 3</t>
        </is>
      </c>
      <c r="C56" s="6" t="inlineStr">
        <is>
          <t>6 позиций</t>
        </is>
      </c>
      <c r="D56" s="6" t="inlineStr">
        <is>
          <t>Воздух, Сироп, Кашемир, Эквадор Полюс, Махагон, Богема</t>
        </is>
      </c>
      <c r="E56" s="6" t="inlineStr">
        <is>
          <t>снять до 5 сентября</t>
        </is>
      </c>
    </row>
    <row r="57" ht="46" customHeight="1">
      <c r="A57" s="9" t="n">
        <v>56</v>
      </c>
      <c r="B57" s="6" t="inlineStr">
        <is>
          <t>Категория не задана источником</t>
        </is>
      </c>
      <c r="C57" s="6" t="inlineStr">
        <is>
          <t>14 позиций из прода</t>
        </is>
      </c>
      <c r="D57" s="6" t="inlineStr">
        <is>
          <t>для позиций, уже живущих в боте, категория в задании не указана — проставлена по ценовой сетке каталога (Стандарт до 2 000 ₽, Премиум до 5 000 ₽, Люкс выше)</t>
        </is>
      </c>
      <c r="E57" s="6" t="inlineStr">
        <is>
          <t>сверить с тем, что реально стоит в боте</t>
        </is>
      </c>
    </row>
    <row r="58" ht="46" customHeight="1">
      <c r="A58" s="9" t="n">
        <v>57</v>
      </c>
      <c r="B58" s="6" t="inlineStr">
        <is>
          <t>Статус позиций</t>
        </is>
      </c>
      <c r="C58" s="6" t="inlineStr">
        <is>
          <t>46 новых (NEW-01…NEW-46)</t>
        </is>
      </c>
      <c r="D58" s="6" t="inlineStr">
        <is>
          <t>новых позиций нет в боте — они существуют только в этом файле</t>
        </is>
      </c>
      <c r="E58" s="6" t="inlineStr">
        <is>
          <t>заводить через /add по волнам (лист «План выкладки»)</t>
        </is>
      </c>
    </row>
  </sheetData>
  <autoFilter ref="A1:E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2026-08-12T00:15:20Z</dcterms:created>
  <dcterms:modified xsi:type="dcterms:W3CDTF">2026-08-12T00:15:21Z</dcterms:modified>
</cp:coreProperties>
</file>